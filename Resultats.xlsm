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omai\Desktop\IMT\A3\CADOR\cador\"/>
    </mc:Choice>
  </mc:AlternateContent>
  <xr:revisionPtr revIDLastSave="0" documentId="13_ncr:1_{74C779C6-AAA2-4743-88E8-90B7FF8B0444}" xr6:coauthVersionLast="45" xr6:coauthVersionMax="45" xr10:uidLastSave="{00000000-0000-0000-0000-000000000000}"/>
  <bookViews>
    <workbookView xWindow="-108" yWindow="-108" windowWidth="23256" windowHeight="12576" activeTab="1" xr2:uid="{07B0DDC0-04F7-4F24-A452-D42156FE5DB1}"/>
  </bookViews>
  <sheets>
    <sheet name="Data" sheetId="2" r:id="rId1"/>
    <sheet name="Resultat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8" i="1" l="1"/>
  <c r="Q49" i="1"/>
  <c r="Q50" i="1"/>
  <c r="Q51" i="1"/>
  <c r="Q52" i="1"/>
  <c r="Q53" i="1"/>
  <c r="Q54" i="1"/>
  <c r="Q55" i="1"/>
  <c r="Q56" i="1"/>
  <c r="Q57" i="1"/>
  <c r="Q58" i="1"/>
  <c r="Q59" i="1"/>
  <c r="Q47" i="1"/>
  <c r="K48" i="1"/>
  <c r="P48" i="1" s="1"/>
  <c r="K49" i="1"/>
  <c r="P49" i="1" s="1"/>
  <c r="K50" i="1"/>
  <c r="P50" i="1" s="1"/>
  <c r="K51" i="1"/>
  <c r="P51" i="1" s="1"/>
  <c r="K52" i="1"/>
  <c r="P52" i="1" s="1"/>
  <c r="K53" i="1"/>
  <c r="P53" i="1" s="1"/>
  <c r="K54" i="1"/>
  <c r="P54" i="1" s="1"/>
  <c r="K55" i="1"/>
  <c r="P55" i="1" s="1"/>
  <c r="K56" i="1"/>
  <c r="P56" i="1" s="1"/>
  <c r="K57" i="1"/>
  <c r="P57" i="1" s="1"/>
  <c r="K58" i="1"/>
  <c r="P58" i="1" s="1"/>
  <c r="K59" i="1"/>
  <c r="P59" i="1" s="1"/>
  <c r="K47" i="1"/>
  <c r="P47" i="1" s="1"/>
  <c r="I43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31" i="1"/>
  <c r="H31" i="1"/>
  <c r="G31" i="1"/>
  <c r="F31" i="1"/>
  <c r="E31" i="1"/>
  <c r="D31" i="1"/>
  <c r="R59" i="1" l="1"/>
  <c r="R57" i="1"/>
  <c r="R56" i="1"/>
  <c r="R55" i="1"/>
  <c r="R54" i="1"/>
  <c r="R53" i="1"/>
  <c r="R51" i="1"/>
  <c r="R49" i="1"/>
  <c r="R48" i="1"/>
  <c r="R58" i="1"/>
  <c r="R52" i="1"/>
  <c r="R50" i="1"/>
  <c r="R47" i="1"/>
  <c r="P40" i="1"/>
  <c r="N42" i="1"/>
  <c r="L40" i="1"/>
  <c r="Q41" i="1"/>
  <c r="O40" i="1"/>
  <c r="L43" i="1"/>
  <c r="P41" i="1"/>
  <c r="Q42" i="1"/>
  <c r="L39" i="1"/>
  <c r="M43" i="1"/>
  <c r="N40" i="1"/>
  <c r="M40" i="1"/>
  <c r="P42" i="1"/>
  <c r="N41" i="1"/>
  <c r="O41" i="1"/>
  <c r="O42" i="1"/>
  <c r="Q39" i="1"/>
  <c r="P43" i="1"/>
  <c r="L41" i="1"/>
  <c r="P39" i="1"/>
  <c r="M41" i="1"/>
  <c r="O43" i="1"/>
  <c r="M42" i="1"/>
  <c r="Q40" i="1"/>
  <c r="O39" i="1"/>
  <c r="M39" i="1"/>
  <c r="N43" i="1"/>
  <c r="L42" i="1"/>
  <c r="N39" i="1"/>
  <c r="Q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63D070-7FF3-4863-B58D-6108D38F4B67}" keepAlive="1" name="Consulta - result" description="Conexión a la consulta 'result' en el libro." type="5" refreshedVersion="6" background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<sst xmlns="http://schemas.openxmlformats.org/spreadsheetml/2006/main" count="1237" uniqueCount="30">
  <si>
    <t>Prénom</t>
  </si>
  <si>
    <t>%</t>
  </si>
  <si>
    <t>J/N</t>
  </si>
  <si>
    <t>L</t>
  </si>
  <si>
    <t>M</t>
  </si>
  <si>
    <t>J</t>
  </si>
  <si>
    <t>V</t>
  </si>
  <si>
    <t>S</t>
  </si>
  <si>
    <t>D</t>
  </si>
  <si>
    <t>Jca</t>
  </si>
  <si>
    <t>Besoins M</t>
  </si>
  <si>
    <t>Besoins J</t>
  </si>
  <si>
    <t>Besoins S</t>
  </si>
  <si>
    <t>M = Poste de matin</t>
  </si>
  <si>
    <t>J = Poste du jour</t>
  </si>
  <si>
    <t>S = Poste de soir</t>
  </si>
  <si>
    <t>Resultats</t>
  </si>
  <si>
    <t>Nombre de postes de travail effectués par chaque agent</t>
  </si>
  <si>
    <t>Equité</t>
  </si>
  <si>
    <t>Nombre de jours de la semaine travaillés par agent</t>
  </si>
  <si>
    <t>Total</t>
  </si>
  <si>
    <t>T</t>
  </si>
  <si>
    <t>Df</t>
  </si>
  <si>
    <t>Besoins N</t>
  </si>
  <si>
    <t>N = Poste de Nuit</t>
  </si>
  <si>
    <t>N</t>
  </si>
  <si>
    <t>Jca = Poste de Jca</t>
  </si>
  <si>
    <t>R = Poste de Repos</t>
  </si>
  <si>
    <t>R</t>
  </si>
  <si>
    <t>Agent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</si>
</sst>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0"/>
      <color indexed="62"/>
      <name val="Times New Roman"/>
      <family val="1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sz val="9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3366"/>
      <name val="Times New Roman"/>
      <family val="1"/>
    </font>
    <font>
      <sz val="11"/>
      <color theme="1"/>
      <name val="Times New Roman"/>
      <family val="1"/>
    </font>
    <font>
      <sz val="10"/>
      <color indexed="10"/>
      <name val="Times New Roman"/>
      <family val="1"/>
    </font>
    <font>
      <b/>
      <i/>
      <sz val="10"/>
      <color rgb="FFFF0000"/>
      <name val="Times New Roman"/>
      <family val="1"/>
    </font>
    <font>
      <b/>
      <sz val="11"/>
      <color rgb="FFFF0000"/>
      <name val="Times New Roman"/>
      <family val="1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106">
    <xf numFmtId="0" fontId="0" fillId="0" borderId="0" xfId="0"/>
    <xf numFmtId="14" fontId="3" fillId="2" borderId="1" xfId="2" applyNumberFormat="1" applyFont="1" applyFill="1" applyBorder="1" applyAlignment="1">
      <alignment horizontal="center"/>
    </xf>
    <xf numFmtId="14" fontId="3" fillId="2" borderId="2" xfId="2" applyNumberFormat="1" applyFont="1" applyFill="1" applyBorder="1" applyAlignment="1">
      <alignment horizontal="center"/>
    </xf>
    <xf numFmtId="164" fontId="4" fillId="3" borderId="3" xfId="2" applyNumberFormat="1" applyFont="1" applyFill="1" applyBorder="1" applyAlignment="1" applyProtection="1">
      <alignment horizontal="center" vertical="center"/>
      <protection locked="0"/>
    </xf>
    <xf numFmtId="164" fontId="4" fillId="0" borderId="4" xfId="2" applyNumberFormat="1" applyFont="1" applyBorder="1" applyAlignment="1">
      <alignment horizontal="center" vertical="center"/>
    </xf>
    <xf numFmtId="164" fontId="4" fillId="0" borderId="5" xfId="2" applyNumberFormat="1" applyFont="1" applyBorder="1" applyAlignment="1">
      <alignment horizontal="center" vertical="center"/>
    </xf>
    <xf numFmtId="164" fontId="4" fillId="0" borderId="6" xfId="2" applyNumberFormat="1" applyFont="1" applyBorder="1" applyAlignment="1">
      <alignment horizontal="center" vertical="center"/>
    </xf>
    <xf numFmtId="164" fontId="4" fillId="3" borderId="7" xfId="2" applyNumberFormat="1" applyFont="1" applyFill="1" applyBorder="1" applyAlignment="1" applyProtection="1">
      <alignment horizontal="center" vertical="center"/>
      <protection locked="0"/>
    </xf>
    <xf numFmtId="0" fontId="5" fillId="4" borderId="8" xfId="2" applyFont="1" applyFill="1" applyBorder="1" applyAlignment="1">
      <alignment horizontal="center"/>
    </xf>
    <xf numFmtId="0" fontId="5" fillId="4" borderId="9" xfId="2" applyFont="1" applyFill="1" applyBorder="1" applyAlignment="1">
      <alignment horizontal="center"/>
    </xf>
    <xf numFmtId="0" fontId="6" fillId="2" borderId="10" xfId="2" applyFont="1" applyFill="1" applyBorder="1" applyAlignment="1">
      <alignment horizontal="center" vertical="center"/>
    </xf>
    <xf numFmtId="0" fontId="6" fillId="2" borderId="6" xfId="2" applyFont="1" applyFill="1" applyBorder="1" applyAlignment="1">
      <alignment horizontal="center" vertical="center"/>
    </xf>
    <xf numFmtId="1" fontId="7" fillId="5" borderId="11" xfId="2" applyNumberFormat="1" applyFont="1" applyFill="1" applyBorder="1" applyAlignment="1" applyProtection="1">
      <alignment horizontal="left" vertical="center"/>
      <protection locked="0"/>
    </xf>
    <xf numFmtId="1" fontId="7" fillId="5" borderId="11" xfId="2" applyNumberFormat="1" applyFont="1" applyFill="1" applyBorder="1" applyAlignment="1" applyProtection="1">
      <alignment horizontal="center" vertical="center"/>
      <protection locked="0"/>
    </xf>
    <xf numFmtId="0" fontId="7" fillId="5" borderId="12" xfId="2" applyFont="1" applyFill="1" applyBorder="1" applyAlignment="1" applyProtection="1">
      <alignment horizontal="center" vertical="center"/>
      <protection locked="0"/>
    </xf>
    <xf numFmtId="1" fontId="7" fillId="5" borderId="13" xfId="2" applyNumberFormat="1" applyFont="1" applyFill="1" applyBorder="1" applyAlignment="1" applyProtection="1">
      <alignment horizontal="center" vertical="center"/>
      <protection locked="0"/>
    </xf>
    <xf numFmtId="0" fontId="7" fillId="5" borderId="14" xfId="2" applyFont="1" applyFill="1" applyBorder="1" applyAlignment="1" applyProtection="1">
      <alignment horizontal="center" vertical="center"/>
      <protection locked="0"/>
    </xf>
    <xf numFmtId="0" fontId="9" fillId="6" borderId="15" xfId="2" applyFont="1" applyFill="1" applyBorder="1" applyAlignment="1">
      <alignment horizontal="center" vertical="center"/>
    </xf>
    <xf numFmtId="0" fontId="9" fillId="6" borderId="16" xfId="2" applyFont="1" applyFill="1" applyBorder="1" applyAlignment="1">
      <alignment horizontal="center" vertical="center"/>
    </xf>
    <xf numFmtId="0" fontId="9" fillId="6" borderId="17" xfId="2" applyFont="1" applyFill="1" applyBorder="1" applyAlignment="1">
      <alignment horizontal="center" vertical="center"/>
    </xf>
    <xf numFmtId="0" fontId="9" fillId="6" borderId="3" xfId="2" applyFont="1" applyFill="1" applyBorder="1" applyAlignment="1">
      <alignment horizontal="center" vertical="center"/>
    </xf>
    <xf numFmtId="0" fontId="9" fillId="6" borderId="18" xfId="2" applyFont="1" applyFill="1" applyBorder="1" applyAlignment="1">
      <alignment horizontal="center" vertical="center"/>
    </xf>
    <xf numFmtId="0" fontId="9" fillId="6" borderId="6" xfId="2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0" fillId="0" borderId="1" xfId="0" applyBorder="1"/>
    <xf numFmtId="1" fontId="7" fillId="6" borderId="0" xfId="2" applyNumberFormat="1" applyFont="1" applyFill="1" applyAlignment="1" applyProtection="1">
      <alignment horizontal="left" vertical="center"/>
      <protection locked="0"/>
    </xf>
    <xf numFmtId="1" fontId="7" fillId="6" borderId="0" xfId="2" applyNumberFormat="1" applyFont="1" applyFill="1" applyAlignment="1" applyProtection="1">
      <alignment horizontal="center" vertical="center"/>
      <protection locked="0"/>
    </xf>
    <xf numFmtId="0" fontId="7" fillId="0" borderId="0" xfId="2" applyFont="1" applyAlignment="1">
      <alignment horizontal="center" vertical="center"/>
    </xf>
    <xf numFmtId="0" fontId="7" fillId="6" borderId="0" xfId="2" applyFont="1" applyFill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7" fillId="0" borderId="25" xfId="2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/>
    </xf>
    <xf numFmtId="0" fontId="7" fillId="0" borderId="27" xfId="2" applyFont="1" applyBorder="1" applyAlignment="1">
      <alignment horizontal="center" vertical="center"/>
    </xf>
    <xf numFmtId="0" fontId="0" fillId="0" borderId="6" xfId="0" applyBorder="1"/>
    <xf numFmtId="0" fontId="7" fillId="0" borderId="28" xfId="2" applyFont="1" applyBorder="1" applyAlignment="1">
      <alignment horizontal="center" vertical="center"/>
    </xf>
    <xf numFmtId="0" fontId="7" fillId="0" borderId="11" xfId="2" applyFont="1" applyBorder="1" applyAlignment="1">
      <alignment horizontal="center" vertical="center"/>
    </xf>
    <xf numFmtId="0" fontId="7" fillId="0" borderId="29" xfId="2" applyFont="1" applyBorder="1" applyAlignment="1">
      <alignment horizontal="center" vertical="center"/>
    </xf>
    <xf numFmtId="0" fontId="9" fillId="6" borderId="0" xfId="2" applyFont="1" applyFill="1" applyBorder="1" applyAlignment="1">
      <alignment horizontal="center" vertical="center"/>
    </xf>
    <xf numFmtId="0" fontId="8" fillId="6" borderId="0" xfId="2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left"/>
    </xf>
    <xf numFmtId="0" fontId="0" fillId="9" borderId="6" xfId="0" applyFill="1" applyBorder="1"/>
    <xf numFmtId="0" fontId="10" fillId="0" borderId="19" xfId="0" applyFont="1" applyBorder="1" applyAlignment="1"/>
    <xf numFmtId="0" fontId="10" fillId="0" borderId="18" xfId="0" applyFont="1" applyBorder="1" applyAlignment="1"/>
    <xf numFmtId="0" fontId="10" fillId="0" borderId="1" xfId="0" applyFont="1" applyBorder="1" applyAlignment="1"/>
    <xf numFmtId="0" fontId="11" fillId="3" borderId="0" xfId="2" applyFont="1" applyFill="1" applyBorder="1" applyAlignment="1">
      <alignment horizontal="center" vertical="center"/>
    </xf>
    <xf numFmtId="0" fontId="7" fillId="0" borderId="33" xfId="2" applyFont="1" applyBorder="1" applyAlignment="1">
      <alignment horizontal="center" vertical="center"/>
    </xf>
    <xf numFmtId="0" fontId="7" fillId="0" borderId="34" xfId="2" applyFont="1" applyBorder="1" applyAlignment="1">
      <alignment horizontal="center" vertical="center"/>
    </xf>
    <xf numFmtId="0" fontId="5" fillId="4" borderId="35" xfId="2" applyFont="1" applyFill="1" applyBorder="1" applyAlignment="1">
      <alignment horizontal="center"/>
    </xf>
    <xf numFmtId="0" fontId="6" fillId="0" borderId="36" xfId="2" applyFont="1" applyBorder="1" applyAlignment="1">
      <alignment horizontal="center" vertical="center"/>
    </xf>
    <xf numFmtId="0" fontId="6" fillId="0" borderId="0" xfId="2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8" borderId="36" xfId="2" applyFont="1" applyFill="1" applyBorder="1" applyAlignment="1">
      <alignment horizontal="center" vertical="center"/>
    </xf>
    <xf numFmtId="1" fontId="7" fillId="5" borderId="25" xfId="2" applyNumberFormat="1" applyFont="1" applyFill="1" applyBorder="1" applyAlignment="1" applyProtection="1">
      <alignment horizontal="left" vertical="center"/>
      <protection locked="0"/>
    </xf>
    <xf numFmtId="1" fontId="7" fillId="5" borderId="26" xfId="2" applyNumberFormat="1" applyFont="1" applyFill="1" applyBorder="1" applyAlignment="1" applyProtection="1">
      <alignment horizontal="center" vertical="center"/>
      <protection locked="0"/>
    </xf>
    <xf numFmtId="1" fontId="7" fillId="5" borderId="28" xfId="2" applyNumberFormat="1" applyFont="1" applyFill="1" applyBorder="1" applyAlignment="1" applyProtection="1">
      <alignment horizontal="left" vertical="center"/>
      <protection locked="0"/>
    </xf>
    <xf numFmtId="1" fontId="7" fillId="5" borderId="38" xfId="2" applyNumberFormat="1" applyFont="1" applyFill="1" applyBorder="1" applyAlignment="1" applyProtection="1">
      <alignment horizontal="left" vertical="center"/>
      <protection locked="0"/>
    </xf>
    <xf numFmtId="1" fontId="7" fillId="5" borderId="39" xfId="2" applyNumberFormat="1" applyFont="1" applyFill="1" applyBorder="1" applyAlignment="1" applyProtection="1">
      <alignment horizontal="center" vertical="center"/>
      <protection locked="0"/>
    </xf>
    <xf numFmtId="0" fontId="7" fillId="0" borderId="38" xfId="2" applyFont="1" applyBorder="1" applyAlignment="1">
      <alignment horizontal="center" vertical="center"/>
    </xf>
    <xf numFmtId="0" fontId="7" fillId="0" borderId="39" xfId="2" applyFont="1" applyBorder="1" applyAlignment="1">
      <alignment horizontal="center" vertical="center"/>
    </xf>
    <xf numFmtId="0" fontId="7" fillId="0" borderId="40" xfId="2" applyFont="1" applyBorder="1" applyAlignment="1">
      <alignment horizontal="center" vertical="center"/>
    </xf>
    <xf numFmtId="0" fontId="7" fillId="0" borderId="41" xfId="2" applyFont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5" fillId="4" borderId="45" xfId="2" applyFont="1" applyFill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0" fillId="0" borderId="2" xfId="0" applyBorder="1"/>
    <xf numFmtId="0" fontId="0" fillId="0" borderId="23" xfId="0" applyBorder="1"/>
    <xf numFmtId="0" fontId="0" fillId="0" borderId="46" xfId="0" applyBorder="1"/>
    <xf numFmtId="0" fontId="7" fillId="0" borderId="47" xfId="2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0" fillId="10" borderId="6" xfId="0" applyFill="1" applyBorder="1"/>
    <xf numFmtId="0" fontId="0" fillId="11" borderId="6" xfId="0" applyFill="1" applyBorder="1"/>
    <xf numFmtId="0" fontId="0" fillId="12" borderId="6" xfId="0" applyFill="1" applyBorder="1"/>
    <xf numFmtId="0" fontId="0" fillId="13" borderId="6" xfId="0" applyFill="1" applyBorder="1"/>
    <xf numFmtId="0" fontId="0" fillId="0" borderId="0" xfId="0" applyBorder="1" applyAlignment="1"/>
    <xf numFmtId="9" fontId="15" fillId="6" borderId="6" xfId="1" applyFont="1" applyFill="1" applyBorder="1"/>
    <xf numFmtId="9" fontId="15" fillId="7" borderId="6" xfId="1" applyFont="1" applyFill="1" applyBorder="1"/>
    <xf numFmtId="9" fontId="15" fillId="14" borderId="6" xfId="1" applyFont="1" applyFill="1" applyBorder="1"/>
    <xf numFmtId="0" fontId="10" fillId="0" borderId="48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5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8" fillId="6" borderId="6" xfId="2" applyFont="1" applyFill="1" applyBorder="1" applyAlignment="1" applyProtection="1">
      <alignment horizontal="center"/>
      <protection locked="0"/>
    </xf>
    <xf numFmtId="0" fontId="10" fillId="0" borderId="6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10" fillId="0" borderId="51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0" fillId="0" borderId="46" xfId="0" applyFont="1" applyBorder="1" applyAlignment="1">
      <alignment horizontal="left"/>
    </xf>
    <xf numFmtId="0" fontId="10" fillId="0" borderId="31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</cellXfs>
  <cellStyles count="3">
    <cellStyle name="Normal" xfId="0" builtinId="0"/>
    <cellStyle name="Normal 3" xfId="2" xr:uid="{363E3905-EF63-4080-A87A-42A72F4542BE}"/>
    <cellStyle name="Pourcentage" xfId="1" builtinId="5"/>
  </cellStyles>
  <dxfs count="1">
    <dxf>
      <fill>
        <patternFill patternType="solid"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21</xdr:row>
          <xdr:rowOff>53340</xdr:rowOff>
        </xdr:from>
        <xdr:to>
          <xdr:col>16</xdr:col>
          <xdr:colOff>175260</xdr:colOff>
          <xdr:row>23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5C0DA-3D1C-4D9F-AE86-14E900761370}">
  <sheetPr codeName="Hoja1"/>
  <dimension ref="A1:N85"/>
  <sheetViews>
    <sheetView workbookViewId="0">
      <selection activeCell="B2" sqref="B2:N85"/>
    </sheetView>
  </sheetViews>
  <sheetFormatPr baseColWidth="10" defaultRowHeight="14.4" x14ac:dyDescent="0.3"/>
  <sheetData>
    <row r="1" spans="1:14" x14ac:dyDescent="0.3">
      <c r="A1" s="42"/>
      <c r="B1" s="42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</row>
    <row r="2" spans="1:14" x14ac:dyDescent="0.3">
      <c r="A2" s="42">
        <v>1</v>
      </c>
      <c r="B2">
        <v>5</v>
      </c>
      <c r="C2">
        <v>3</v>
      </c>
      <c r="D2">
        <v>4</v>
      </c>
      <c r="E2">
        <v>1</v>
      </c>
      <c r="F2">
        <v>2</v>
      </c>
      <c r="G2">
        <v>1</v>
      </c>
      <c r="H2">
        <v>5</v>
      </c>
      <c r="I2">
        <v>1</v>
      </c>
      <c r="J2">
        <v>6</v>
      </c>
      <c r="K2">
        <v>1</v>
      </c>
      <c r="L2">
        <v>6</v>
      </c>
      <c r="M2">
        <v>6</v>
      </c>
      <c r="N2">
        <v>2</v>
      </c>
    </row>
    <row r="3" spans="1:14" x14ac:dyDescent="0.3">
      <c r="A3" s="42">
        <v>2</v>
      </c>
      <c r="B3">
        <v>1</v>
      </c>
      <c r="C3">
        <v>2</v>
      </c>
      <c r="D3">
        <v>3</v>
      </c>
      <c r="E3">
        <v>1</v>
      </c>
      <c r="F3">
        <v>2</v>
      </c>
      <c r="G3">
        <v>4</v>
      </c>
      <c r="H3">
        <v>5</v>
      </c>
      <c r="I3">
        <v>5</v>
      </c>
      <c r="J3">
        <v>6</v>
      </c>
      <c r="K3">
        <v>6</v>
      </c>
      <c r="L3">
        <v>6</v>
      </c>
      <c r="M3">
        <v>6</v>
      </c>
      <c r="N3">
        <v>6</v>
      </c>
    </row>
    <row r="4" spans="1:14" x14ac:dyDescent="0.3">
      <c r="A4" s="42">
        <v>3</v>
      </c>
      <c r="B4">
        <v>2</v>
      </c>
      <c r="C4">
        <v>2</v>
      </c>
      <c r="D4">
        <v>6</v>
      </c>
      <c r="E4">
        <v>1</v>
      </c>
      <c r="F4">
        <v>3</v>
      </c>
      <c r="G4">
        <v>4</v>
      </c>
      <c r="H4">
        <v>1</v>
      </c>
      <c r="I4">
        <v>5</v>
      </c>
      <c r="J4">
        <v>5</v>
      </c>
      <c r="K4">
        <v>6</v>
      </c>
      <c r="L4">
        <v>6</v>
      </c>
      <c r="M4">
        <v>6</v>
      </c>
      <c r="N4">
        <v>6</v>
      </c>
    </row>
    <row r="5" spans="1:14" x14ac:dyDescent="0.3">
      <c r="A5" s="42">
        <v>4</v>
      </c>
      <c r="B5">
        <v>6</v>
      </c>
      <c r="C5">
        <v>4</v>
      </c>
      <c r="D5">
        <v>1</v>
      </c>
      <c r="E5">
        <v>2</v>
      </c>
      <c r="F5">
        <v>3</v>
      </c>
      <c r="G5">
        <v>1</v>
      </c>
      <c r="H5">
        <v>2</v>
      </c>
      <c r="I5">
        <v>5</v>
      </c>
      <c r="J5">
        <v>5</v>
      </c>
      <c r="K5">
        <v>6</v>
      </c>
      <c r="L5">
        <v>6</v>
      </c>
      <c r="M5">
        <v>6</v>
      </c>
      <c r="N5">
        <v>6</v>
      </c>
    </row>
    <row r="6" spans="1:14" x14ac:dyDescent="0.3">
      <c r="A6" s="42">
        <v>5</v>
      </c>
      <c r="B6">
        <v>6</v>
      </c>
      <c r="C6">
        <v>4</v>
      </c>
      <c r="D6">
        <v>1</v>
      </c>
      <c r="E6">
        <v>2</v>
      </c>
      <c r="F6">
        <v>3</v>
      </c>
      <c r="G6">
        <v>1</v>
      </c>
      <c r="H6">
        <v>2</v>
      </c>
      <c r="I6">
        <v>1</v>
      </c>
      <c r="J6">
        <v>5</v>
      </c>
      <c r="K6">
        <v>6</v>
      </c>
      <c r="L6">
        <v>6</v>
      </c>
      <c r="M6">
        <v>6</v>
      </c>
      <c r="N6">
        <v>5</v>
      </c>
    </row>
    <row r="7" spans="1:14" x14ac:dyDescent="0.3">
      <c r="A7" s="42">
        <v>6</v>
      </c>
      <c r="B7">
        <v>4</v>
      </c>
      <c r="C7">
        <v>6</v>
      </c>
      <c r="D7">
        <v>2</v>
      </c>
      <c r="E7">
        <v>6</v>
      </c>
      <c r="F7">
        <v>1</v>
      </c>
      <c r="G7">
        <v>2</v>
      </c>
      <c r="H7">
        <v>6</v>
      </c>
      <c r="I7">
        <v>6</v>
      </c>
      <c r="J7">
        <v>1</v>
      </c>
      <c r="K7">
        <v>5</v>
      </c>
      <c r="L7">
        <v>1</v>
      </c>
      <c r="M7">
        <v>6</v>
      </c>
      <c r="N7">
        <v>5</v>
      </c>
    </row>
    <row r="8" spans="1:14" x14ac:dyDescent="0.3">
      <c r="A8" s="42">
        <v>7</v>
      </c>
      <c r="B8">
        <v>4</v>
      </c>
      <c r="C8">
        <v>2</v>
      </c>
      <c r="D8">
        <v>2</v>
      </c>
      <c r="E8">
        <v>6</v>
      </c>
      <c r="F8">
        <v>6</v>
      </c>
      <c r="G8">
        <v>6</v>
      </c>
      <c r="H8">
        <v>6</v>
      </c>
      <c r="I8">
        <v>6</v>
      </c>
      <c r="J8">
        <v>6</v>
      </c>
      <c r="K8">
        <v>5</v>
      </c>
      <c r="L8">
        <v>5</v>
      </c>
      <c r="M8">
        <v>1</v>
      </c>
      <c r="N8">
        <v>1</v>
      </c>
    </row>
    <row r="9" spans="1:14" x14ac:dyDescent="0.3">
      <c r="A9" s="42">
        <v>8</v>
      </c>
      <c r="B9">
        <v>4</v>
      </c>
      <c r="C9">
        <v>2</v>
      </c>
      <c r="D9">
        <v>6</v>
      </c>
      <c r="E9">
        <v>5</v>
      </c>
      <c r="F9">
        <v>6</v>
      </c>
      <c r="G9">
        <v>6</v>
      </c>
      <c r="H9">
        <v>3</v>
      </c>
      <c r="I9">
        <v>2</v>
      </c>
      <c r="J9">
        <v>6</v>
      </c>
      <c r="K9">
        <v>5</v>
      </c>
      <c r="L9">
        <v>6</v>
      </c>
      <c r="M9">
        <v>6</v>
      </c>
      <c r="N9">
        <v>6</v>
      </c>
    </row>
    <row r="10" spans="1:14" x14ac:dyDescent="0.3">
      <c r="A10" s="42">
        <v>9</v>
      </c>
      <c r="B10">
        <v>4</v>
      </c>
      <c r="C10">
        <v>2</v>
      </c>
      <c r="D10">
        <v>1</v>
      </c>
      <c r="E10">
        <v>6</v>
      </c>
      <c r="F10">
        <v>1</v>
      </c>
      <c r="G10">
        <v>5</v>
      </c>
      <c r="H10">
        <v>3</v>
      </c>
      <c r="I10">
        <v>2</v>
      </c>
      <c r="J10">
        <v>6</v>
      </c>
      <c r="K10">
        <v>6</v>
      </c>
      <c r="L10">
        <v>6</v>
      </c>
      <c r="M10">
        <v>5</v>
      </c>
      <c r="N10">
        <v>6</v>
      </c>
    </row>
    <row r="11" spans="1:14" x14ac:dyDescent="0.3">
      <c r="A11" s="42">
        <v>10</v>
      </c>
      <c r="B11">
        <v>1</v>
      </c>
      <c r="C11">
        <v>2</v>
      </c>
      <c r="D11">
        <v>1</v>
      </c>
      <c r="E11">
        <v>3</v>
      </c>
      <c r="F11">
        <v>1</v>
      </c>
      <c r="G11">
        <v>5</v>
      </c>
      <c r="H11">
        <v>2</v>
      </c>
      <c r="I11">
        <v>4</v>
      </c>
      <c r="J11">
        <v>1</v>
      </c>
      <c r="K11">
        <v>6</v>
      </c>
      <c r="L11">
        <v>6</v>
      </c>
      <c r="M11">
        <v>5</v>
      </c>
      <c r="N11">
        <v>6</v>
      </c>
    </row>
    <row r="12" spans="1:14" x14ac:dyDescent="0.3">
      <c r="A12" s="42">
        <v>11</v>
      </c>
      <c r="B12">
        <v>6</v>
      </c>
      <c r="C12">
        <v>4</v>
      </c>
      <c r="D12">
        <v>1</v>
      </c>
      <c r="E12">
        <v>3</v>
      </c>
      <c r="F12">
        <v>5</v>
      </c>
      <c r="G12">
        <v>1</v>
      </c>
      <c r="H12">
        <v>2</v>
      </c>
      <c r="I12">
        <v>1</v>
      </c>
      <c r="J12">
        <v>6</v>
      </c>
      <c r="K12">
        <v>2</v>
      </c>
      <c r="L12">
        <v>5</v>
      </c>
      <c r="M12">
        <v>6</v>
      </c>
      <c r="N12">
        <v>6</v>
      </c>
    </row>
    <row r="13" spans="1:14" x14ac:dyDescent="0.3">
      <c r="A13" s="42">
        <v>12</v>
      </c>
      <c r="B13">
        <v>2</v>
      </c>
      <c r="C13">
        <v>6</v>
      </c>
      <c r="D13">
        <v>6</v>
      </c>
      <c r="E13">
        <v>3</v>
      </c>
      <c r="F13">
        <v>5</v>
      </c>
      <c r="G13">
        <v>1</v>
      </c>
      <c r="H13">
        <v>6</v>
      </c>
      <c r="I13">
        <v>1</v>
      </c>
      <c r="J13">
        <v>4</v>
      </c>
      <c r="K13">
        <v>2</v>
      </c>
      <c r="L13">
        <v>5</v>
      </c>
      <c r="M13">
        <v>6</v>
      </c>
      <c r="N13">
        <v>6</v>
      </c>
    </row>
    <row r="14" spans="1:14" x14ac:dyDescent="0.3">
      <c r="A14" s="42">
        <v>13</v>
      </c>
      <c r="B14">
        <v>2</v>
      </c>
      <c r="C14">
        <v>6</v>
      </c>
      <c r="D14">
        <v>6</v>
      </c>
      <c r="E14">
        <v>1</v>
      </c>
      <c r="F14">
        <v>1</v>
      </c>
      <c r="G14">
        <v>6</v>
      </c>
      <c r="H14">
        <v>5</v>
      </c>
      <c r="I14">
        <v>6</v>
      </c>
      <c r="J14">
        <v>4</v>
      </c>
      <c r="K14">
        <v>2</v>
      </c>
      <c r="L14">
        <v>5</v>
      </c>
      <c r="M14">
        <v>1</v>
      </c>
      <c r="N14">
        <v>1</v>
      </c>
    </row>
    <row r="15" spans="1:14" x14ac:dyDescent="0.3">
      <c r="A15" s="42">
        <v>14</v>
      </c>
      <c r="B15">
        <v>2</v>
      </c>
      <c r="C15">
        <v>1</v>
      </c>
      <c r="D15">
        <v>4</v>
      </c>
      <c r="E15">
        <v>6</v>
      </c>
      <c r="F15">
        <v>6</v>
      </c>
      <c r="G15">
        <v>6</v>
      </c>
      <c r="H15">
        <v>6</v>
      </c>
      <c r="I15">
        <v>6</v>
      </c>
      <c r="J15">
        <v>5</v>
      </c>
      <c r="K15">
        <v>2</v>
      </c>
      <c r="L15">
        <v>1</v>
      </c>
      <c r="M15">
        <v>5</v>
      </c>
      <c r="N15">
        <v>1</v>
      </c>
    </row>
    <row r="16" spans="1:14" x14ac:dyDescent="0.3">
      <c r="A16" s="42">
        <v>15</v>
      </c>
      <c r="B16">
        <v>6</v>
      </c>
      <c r="C16">
        <v>1</v>
      </c>
      <c r="D16">
        <v>4</v>
      </c>
      <c r="E16">
        <v>2</v>
      </c>
      <c r="F16">
        <v>6</v>
      </c>
      <c r="G16">
        <v>5</v>
      </c>
      <c r="H16">
        <v>3</v>
      </c>
      <c r="I16">
        <v>2</v>
      </c>
      <c r="J16">
        <v>5</v>
      </c>
      <c r="K16">
        <v>6</v>
      </c>
      <c r="L16">
        <v>6</v>
      </c>
      <c r="M16">
        <v>1</v>
      </c>
      <c r="N16">
        <v>6</v>
      </c>
    </row>
    <row r="17" spans="1:14" x14ac:dyDescent="0.3">
      <c r="A17" s="42">
        <v>16</v>
      </c>
      <c r="B17">
        <v>6</v>
      </c>
      <c r="C17">
        <v>6</v>
      </c>
      <c r="D17">
        <v>1</v>
      </c>
      <c r="E17">
        <v>2</v>
      </c>
      <c r="F17">
        <v>2</v>
      </c>
      <c r="G17">
        <v>5</v>
      </c>
      <c r="H17">
        <v>3</v>
      </c>
      <c r="I17">
        <v>5</v>
      </c>
      <c r="J17">
        <v>6</v>
      </c>
      <c r="K17">
        <v>4</v>
      </c>
      <c r="L17">
        <v>6</v>
      </c>
      <c r="M17">
        <v>6</v>
      </c>
      <c r="N17">
        <v>6</v>
      </c>
    </row>
    <row r="18" spans="1:14" x14ac:dyDescent="0.3">
      <c r="A18" s="42">
        <v>17</v>
      </c>
      <c r="B18">
        <v>5</v>
      </c>
      <c r="C18">
        <v>2</v>
      </c>
      <c r="D18">
        <v>1</v>
      </c>
      <c r="E18">
        <v>1</v>
      </c>
      <c r="F18">
        <v>1</v>
      </c>
      <c r="G18">
        <v>6</v>
      </c>
      <c r="H18">
        <v>2</v>
      </c>
      <c r="I18">
        <v>5</v>
      </c>
      <c r="J18">
        <v>6</v>
      </c>
      <c r="K18">
        <v>4</v>
      </c>
      <c r="L18">
        <v>6</v>
      </c>
      <c r="M18">
        <v>3</v>
      </c>
      <c r="N18">
        <v>6</v>
      </c>
    </row>
    <row r="19" spans="1:14" x14ac:dyDescent="0.3">
      <c r="A19" s="42">
        <v>18</v>
      </c>
      <c r="B19">
        <v>5</v>
      </c>
      <c r="C19">
        <v>2</v>
      </c>
      <c r="D19">
        <v>6</v>
      </c>
      <c r="E19">
        <v>6</v>
      </c>
      <c r="F19">
        <v>6</v>
      </c>
      <c r="G19">
        <v>2</v>
      </c>
      <c r="H19">
        <v>6</v>
      </c>
      <c r="I19">
        <v>1</v>
      </c>
      <c r="J19">
        <v>4</v>
      </c>
      <c r="K19">
        <v>6</v>
      </c>
      <c r="L19">
        <v>5</v>
      </c>
      <c r="M19">
        <v>3</v>
      </c>
      <c r="N19">
        <v>6</v>
      </c>
    </row>
    <row r="20" spans="1:14" x14ac:dyDescent="0.3">
      <c r="A20" s="42">
        <v>19</v>
      </c>
      <c r="B20">
        <v>5</v>
      </c>
      <c r="C20">
        <v>6</v>
      </c>
      <c r="D20">
        <v>2</v>
      </c>
      <c r="E20">
        <v>1</v>
      </c>
      <c r="F20">
        <v>3</v>
      </c>
      <c r="G20">
        <v>1</v>
      </c>
      <c r="H20">
        <v>2</v>
      </c>
      <c r="I20">
        <v>1</v>
      </c>
      <c r="J20">
        <v>4</v>
      </c>
      <c r="K20">
        <v>6</v>
      </c>
      <c r="L20">
        <v>5</v>
      </c>
      <c r="M20">
        <v>1</v>
      </c>
      <c r="N20">
        <v>6</v>
      </c>
    </row>
    <row r="21" spans="1:14" x14ac:dyDescent="0.3">
      <c r="A21" s="42">
        <v>20</v>
      </c>
      <c r="B21">
        <v>1</v>
      </c>
      <c r="C21">
        <v>5</v>
      </c>
      <c r="D21">
        <v>1</v>
      </c>
      <c r="E21">
        <v>2</v>
      </c>
      <c r="F21">
        <v>1</v>
      </c>
      <c r="G21">
        <v>6</v>
      </c>
      <c r="H21">
        <v>6</v>
      </c>
      <c r="I21">
        <v>6</v>
      </c>
      <c r="J21">
        <v>4</v>
      </c>
      <c r="K21">
        <v>6</v>
      </c>
      <c r="L21">
        <v>5</v>
      </c>
      <c r="M21">
        <v>6</v>
      </c>
      <c r="N21">
        <v>2</v>
      </c>
    </row>
    <row r="22" spans="1:14" x14ac:dyDescent="0.3">
      <c r="A22" s="42">
        <v>21</v>
      </c>
      <c r="B22">
        <v>6</v>
      </c>
      <c r="C22">
        <v>1</v>
      </c>
      <c r="D22">
        <v>6</v>
      </c>
      <c r="E22">
        <v>1</v>
      </c>
      <c r="F22">
        <v>6</v>
      </c>
      <c r="G22">
        <v>4</v>
      </c>
      <c r="H22">
        <v>5</v>
      </c>
      <c r="I22">
        <v>6</v>
      </c>
      <c r="J22">
        <v>1</v>
      </c>
      <c r="K22">
        <v>2</v>
      </c>
      <c r="L22">
        <v>1</v>
      </c>
      <c r="M22">
        <v>5</v>
      </c>
      <c r="N22">
        <v>2</v>
      </c>
    </row>
    <row r="23" spans="1:14" x14ac:dyDescent="0.3">
      <c r="A23" s="42">
        <v>22</v>
      </c>
      <c r="B23">
        <v>1</v>
      </c>
      <c r="C23">
        <v>6</v>
      </c>
      <c r="D23">
        <v>5</v>
      </c>
      <c r="E23">
        <v>6</v>
      </c>
      <c r="F23">
        <v>2</v>
      </c>
      <c r="G23">
        <v>3</v>
      </c>
      <c r="H23">
        <v>1</v>
      </c>
      <c r="I23">
        <v>5</v>
      </c>
      <c r="J23">
        <v>6</v>
      </c>
      <c r="K23">
        <v>4</v>
      </c>
      <c r="L23">
        <v>6</v>
      </c>
      <c r="M23">
        <v>1</v>
      </c>
      <c r="N23">
        <v>2</v>
      </c>
    </row>
    <row r="24" spans="1:14" x14ac:dyDescent="0.3">
      <c r="A24" s="42">
        <v>23</v>
      </c>
      <c r="B24">
        <v>6</v>
      </c>
      <c r="C24">
        <v>2</v>
      </c>
      <c r="D24">
        <v>5</v>
      </c>
      <c r="E24">
        <v>6</v>
      </c>
      <c r="F24">
        <v>2</v>
      </c>
      <c r="G24">
        <v>3</v>
      </c>
      <c r="H24">
        <v>1</v>
      </c>
      <c r="I24">
        <v>1</v>
      </c>
      <c r="J24">
        <v>5</v>
      </c>
      <c r="K24">
        <v>4</v>
      </c>
      <c r="L24">
        <v>6</v>
      </c>
      <c r="M24">
        <v>6</v>
      </c>
      <c r="N24">
        <v>6</v>
      </c>
    </row>
    <row r="25" spans="1:14" x14ac:dyDescent="0.3">
      <c r="A25" s="42">
        <v>24</v>
      </c>
      <c r="B25">
        <v>4</v>
      </c>
      <c r="C25">
        <v>2</v>
      </c>
      <c r="D25">
        <v>1</v>
      </c>
      <c r="E25">
        <v>5</v>
      </c>
      <c r="F25">
        <v>1</v>
      </c>
      <c r="G25">
        <v>1</v>
      </c>
      <c r="H25">
        <v>1</v>
      </c>
      <c r="I25">
        <v>2</v>
      </c>
      <c r="J25">
        <v>1</v>
      </c>
      <c r="K25">
        <v>5</v>
      </c>
      <c r="L25">
        <v>3</v>
      </c>
      <c r="M25">
        <v>6</v>
      </c>
      <c r="N25">
        <v>6</v>
      </c>
    </row>
    <row r="26" spans="1:14" x14ac:dyDescent="0.3">
      <c r="A26" s="42">
        <v>25</v>
      </c>
      <c r="B26">
        <v>4</v>
      </c>
      <c r="C26">
        <v>1</v>
      </c>
      <c r="D26">
        <v>6</v>
      </c>
      <c r="E26">
        <v>1</v>
      </c>
      <c r="F26">
        <v>2</v>
      </c>
      <c r="G26">
        <v>5</v>
      </c>
      <c r="H26">
        <v>6</v>
      </c>
      <c r="I26">
        <v>2</v>
      </c>
      <c r="J26">
        <v>6</v>
      </c>
      <c r="K26">
        <v>5</v>
      </c>
      <c r="L26">
        <v>3</v>
      </c>
      <c r="M26">
        <v>6</v>
      </c>
      <c r="N26">
        <v>6</v>
      </c>
    </row>
    <row r="27" spans="1:14" x14ac:dyDescent="0.3">
      <c r="A27" s="42">
        <v>26</v>
      </c>
      <c r="B27">
        <v>4</v>
      </c>
      <c r="C27">
        <v>1</v>
      </c>
      <c r="D27">
        <v>6</v>
      </c>
      <c r="E27">
        <v>5</v>
      </c>
      <c r="F27">
        <v>2</v>
      </c>
      <c r="G27">
        <v>1</v>
      </c>
      <c r="H27">
        <v>1</v>
      </c>
      <c r="I27">
        <v>1</v>
      </c>
      <c r="J27">
        <v>2</v>
      </c>
      <c r="K27">
        <v>6</v>
      </c>
      <c r="L27">
        <v>3</v>
      </c>
      <c r="M27">
        <v>6</v>
      </c>
      <c r="N27">
        <v>5</v>
      </c>
    </row>
    <row r="28" spans="1:14" x14ac:dyDescent="0.3">
      <c r="A28" s="42">
        <v>27</v>
      </c>
      <c r="B28">
        <v>4</v>
      </c>
      <c r="C28">
        <v>6</v>
      </c>
      <c r="D28">
        <v>6</v>
      </c>
      <c r="E28">
        <v>5</v>
      </c>
      <c r="F28">
        <v>2</v>
      </c>
      <c r="G28">
        <v>6</v>
      </c>
      <c r="H28">
        <v>1</v>
      </c>
      <c r="I28">
        <v>6</v>
      </c>
      <c r="J28">
        <v>2</v>
      </c>
      <c r="K28">
        <v>6</v>
      </c>
      <c r="L28">
        <v>6</v>
      </c>
      <c r="M28">
        <v>6</v>
      </c>
      <c r="N28">
        <v>5</v>
      </c>
    </row>
    <row r="29" spans="1:14" x14ac:dyDescent="0.3">
      <c r="A29" s="42">
        <v>28</v>
      </c>
      <c r="B29">
        <v>1</v>
      </c>
      <c r="C29">
        <v>5</v>
      </c>
      <c r="D29">
        <v>5</v>
      </c>
      <c r="E29">
        <v>6</v>
      </c>
      <c r="F29">
        <v>6</v>
      </c>
      <c r="G29">
        <v>6</v>
      </c>
      <c r="H29">
        <v>2</v>
      </c>
      <c r="I29">
        <v>6</v>
      </c>
      <c r="J29">
        <v>2</v>
      </c>
      <c r="K29">
        <v>4</v>
      </c>
      <c r="L29">
        <v>1</v>
      </c>
      <c r="M29">
        <v>1</v>
      </c>
      <c r="N29">
        <v>1</v>
      </c>
    </row>
    <row r="30" spans="1:14" x14ac:dyDescent="0.3">
      <c r="A30" s="42">
        <v>29</v>
      </c>
      <c r="B30">
        <v>6</v>
      </c>
      <c r="C30">
        <v>1</v>
      </c>
      <c r="D30">
        <v>5</v>
      </c>
      <c r="E30">
        <v>3</v>
      </c>
      <c r="F30">
        <v>6</v>
      </c>
      <c r="G30">
        <v>5</v>
      </c>
      <c r="H30">
        <v>6</v>
      </c>
      <c r="I30">
        <v>1</v>
      </c>
      <c r="J30">
        <v>6</v>
      </c>
      <c r="K30">
        <v>4</v>
      </c>
      <c r="L30">
        <v>2</v>
      </c>
      <c r="M30">
        <v>2</v>
      </c>
      <c r="N30">
        <v>6</v>
      </c>
    </row>
    <row r="31" spans="1:14" x14ac:dyDescent="0.3">
      <c r="A31" s="42">
        <v>30</v>
      </c>
      <c r="B31">
        <v>6</v>
      </c>
      <c r="C31">
        <v>1</v>
      </c>
      <c r="D31">
        <v>5</v>
      </c>
      <c r="E31">
        <v>6</v>
      </c>
      <c r="F31">
        <v>1</v>
      </c>
      <c r="G31">
        <v>5</v>
      </c>
      <c r="H31">
        <v>4</v>
      </c>
      <c r="I31">
        <v>2</v>
      </c>
      <c r="J31">
        <v>6</v>
      </c>
      <c r="K31">
        <v>3</v>
      </c>
      <c r="L31">
        <v>1</v>
      </c>
      <c r="M31">
        <v>2</v>
      </c>
      <c r="N31">
        <v>6</v>
      </c>
    </row>
    <row r="32" spans="1:14" x14ac:dyDescent="0.3">
      <c r="A32" s="42">
        <v>31</v>
      </c>
      <c r="B32">
        <v>5</v>
      </c>
      <c r="C32">
        <v>6</v>
      </c>
      <c r="D32">
        <v>1</v>
      </c>
      <c r="E32">
        <v>6</v>
      </c>
      <c r="F32">
        <v>1</v>
      </c>
      <c r="G32">
        <v>5</v>
      </c>
      <c r="H32">
        <v>4</v>
      </c>
      <c r="I32">
        <v>2</v>
      </c>
      <c r="J32">
        <v>6</v>
      </c>
      <c r="K32">
        <v>3</v>
      </c>
      <c r="L32">
        <v>6</v>
      </c>
      <c r="M32">
        <v>2</v>
      </c>
      <c r="N32">
        <v>6</v>
      </c>
    </row>
    <row r="33" spans="1:14" x14ac:dyDescent="0.3">
      <c r="A33" s="42">
        <v>32</v>
      </c>
      <c r="B33">
        <v>1</v>
      </c>
      <c r="C33">
        <v>5</v>
      </c>
      <c r="D33">
        <v>1</v>
      </c>
      <c r="E33">
        <v>5</v>
      </c>
      <c r="F33">
        <v>3</v>
      </c>
      <c r="G33">
        <v>1</v>
      </c>
      <c r="H33">
        <v>4</v>
      </c>
      <c r="I33">
        <v>2</v>
      </c>
      <c r="J33">
        <v>6</v>
      </c>
      <c r="K33">
        <v>6</v>
      </c>
      <c r="L33">
        <v>6</v>
      </c>
      <c r="M33">
        <v>2</v>
      </c>
      <c r="N33">
        <v>6</v>
      </c>
    </row>
    <row r="34" spans="1:14" x14ac:dyDescent="0.3">
      <c r="A34" s="42">
        <v>33</v>
      </c>
      <c r="B34">
        <v>1</v>
      </c>
      <c r="C34">
        <v>1</v>
      </c>
      <c r="D34">
        <v>6</v>
      </c>
      <c r="E34">
        <v>5</v>
      </c>
      <c r="F34">
        <v>3</v>
      </c>
      <c r="G34">
        <v>1</v>
      </c>
      <c r="H34">
        <v>1</v>
      </c>
      <c r="I34">
        <v>2</v>
      </c>
      <c r="J34">
        <v>5</v>
      </c>
      <c r="K34">
        <v>6</v>
      </c>
      <c r="L34">
        <v>2</v>
      </c>
      <c r="M34">
        <v>6</v>
      </c>
      <c r="N34">
        <v>4</v>
      </c>
    </row>
    <row r="35" spans="1:14" x14ac:dyDescent="0.3">
      <c r="A35" s="42">
        <v>34</v>
      </c>
      <c r="B35">
        <v>1</v>
      </c>
      <c r="C35">
        <v>6</v>
      </c>
      <c r="D35">
        <v>6</v>
      </c>
      <c r="E35">
        <v>1</v>
      </c>
      <c r="F35">
        <v>6</v>
      </c>
      <c r="G35">
        <v>6</v>
      </c>
      <c r="H35">
        <v>5</v>
      </c>
      <c r="I35">
        <v>1</v>
      </c>
      <c r="J35">
        <v>5</v>
      </c>
      <c r="K35">
        <v>1</v>
      </c>
      <c r="L35">
        <v>2</v>
      </c>
      <c r="M35">
        <v>2</v>
      </c>
      <c r="N35">
        <v>4</v>
      </c>
    </row>
    <row r="36" spans="1:14" x14ac:dyDescent="0.3">
      <c r="A36" s="42">
        <v>35</v>
      </c>
      <c r="B36">
        <v>6</v>
      </c>
      <c r="C36">
        <v>6</v>
      </c>
      <c r="D36">
        <v>5</v>
      </c>
      <c r="E36">
        <v>5</v>
      </c>
      <c r="F36">
        <v>4</v>
      </c>
      <c r="G36">
        <v>6</v>
      </c>
      <c r="H36">
        <v>6</v>
      </c>
      <c r="I36">
        <v>6</v>
      </c>
      <c r="J36">
        <v>6</v>
      </c>
      <c r="K36">
        <v>1</v>
      </c>
      <c r="L36">
        <v>2</v>
      </c>
      <c r="M36">
        <v>2</v>
      </c>
      <c r="N36">
        <v>1</v>
      </c>
    </row>
    <row r="37" spans="1:14" x14ac:dyDescent="0.3">
      <c r="A37" s="42">
        <v>36</v>
      </c>
      <c r="B37">
        <v>3</v>
      </c>
      <c r="C37">
        <v>5</v>
      </c>
      <c r="D37">
        <v>5</v>
      </c>
      <c r="E37">
        <v>6</v>
      </c>
      <c r="F37">
        <v>4</v>
      </c>
      <c r="G37">
        <v>1</v>
      </c>
      <c r="H37">
        <v>2</v>
      </c>
      <c r="I37">
        <v>6</v>
      </c>
      <c r="J37">
        <v>1</v>
      </c>
      <c r="K37">
        <v>6</v>
      </c>
      <c r="L37">
        <v>1</v>
      </c>
      <c r="M37">
        <v>2</v>
      </c>
      <c r="N37">
        <v>6</v>
      </c>
    </row>
    <row r="38" spans="1:14" x14ac:dyDescent="0.3">
      <c r="A38" s="42">
        <v>37</v>
      </c>
      <c r="B38">
        <v>3</v>
      </c>
      <c r="C38">
        <v>5</v>
      </c>
      <c r="D38">
        <v>1</v>
      </c>
      <c r="E38">
        <v>6</v>
      </c>
      <c r="F38">
        <v>4</v>
      </c>
      <c r="G38">
        <v>1</v>
      </c>
      <c r="H38">
        <v>6</v>
      </c>
      <c r="I38">
        <v>5</v>
      </c>
      <c r="J38">
        <v>2</v>
      </c>
      <c r="K38">
        <v>6</v>
      </c>
      <c r="L38">
        <v>6</v>
      </c>
      <c r="M38">
        <v>2</v>
      </c>
      <c r="N38">
        <v>6</v>
      </c>
    </row>
    <row r="39" spans="1:14" x14ac:dyDescent="0.3">
      <c r="A39" s="42">
        <v>38</v>
      </c>
      <c r="B39">
        <v>6</v>
      </c>
      <c r="C39">
        <v>5</v>
      </c>
      <c r="D39">
        <v>6</v>
      </c>
      <c r="E39">
        <v>3</v>
      </c>
      <c r="F39">
        <v>4</v>
      </c>
      <c r="G39">
        <v>2</v>
      </c>
      <c r="H39">
        <v>1</v>
      </c>
      <c r="I39">
        <v>5</v>
      </c>
      <c r="J39">
        <v>2</v>
      </c>
      <c r="K39">
        <v>6</v>
      </c>
      <c r="L39">
        <v>6</v>
      </c>
      <c r="M39">
        <v>6</v>
      </c>
      <c r="N39">
        <v>6</v>
      </c>
    </row>
    <row r="40" spans="1:14" x14ac:dyDescent="0.3">
      <c r="A40" s="42">
        <v>39</v>
      </c>
      <c r="B40">
        <v>1</v>
      </c>
      <c r="C40">
        <v>6</v>
      </c>
      <c r="D40">
        <v>1</v>
      </c>
      <c r="E40">
        <v>3</v>
      </c>
      <c r="F40">
        <v>4</v>
      </c>
      <c r="G40">
        <v>2</v>
      </c>
      <c r="H40">
        <v>5</v>
      </c>
      <c r="I40">
        <v>5</v>
      </c>
      <c r="J40">
        <v>6</v>
      </c>
      <c r="K40">
        <v>2</v>
      </c>
      <c r="L40">
        <v>6</v>
      </c>
      <c r="M40">
        <v>6</v>
      </c>
      <c r="N40">
        <v>6</v>
      </c>
    </row>
    <row r="41" spans="1:14" x14ac:dyDescent="0.3">
      <c r="A41" s="42">
        <v>40</v>
      </c>
      <c r="B41">
        <v>4</v>
      </c>
      <c r="C41">
        <v>2</v>
      </c>
      <c r="D41">
        <v>6</v>
      </c>
      <c r="E41">
        <v>3</v>
      </c>
      <c r="F41">
        <v>1</v>
      </c>
      <c r="G41">
        <v>6</v>
      </c>
      <c r="H41">
        <v>5</v>
      </c>
      <c r="I41">
        <v>1</v>
      </c>
      <c r="J41">
        <v>6</v>
      </c>
      <c r="K41">
        <v>2</v>
      </c>
      <c r="L41">
        <v>5</v>
      </c>
      <c r="M41">
        <v>6</v>
      </c>
      <c r="N41">
        <v>6</v>
      </c>
    </row>
    <row r="42" spans="1:14" x14ac:dyDescent="0.3">
      <c r="A42" s="42">
        <v>41</v>
      </c>
      <c r="B42">
        <v>4</v>
      </c>
      <c r="C42">
        <v>2</v>
      </c>
      <c r="D42">
        <v>1</v>
      </c>
      <c r="E42">
        <v>1</v>
      </c>
      <c r="F42">
        <v>6</v>
      </c>
      <c r="G42">
        <v>2</v>
      </c>
      <c r="H42">
        <v>6</v>
      </c>
      <c r="I42">
        <v>6</v>
      </c>
      <c r="J42">
        <v>6</v>
      </c>
      <c r="K42">
        <v>6</v>
      </c>
      <c r="L42">
        <v>5</v>
      </c>
      <c r="M42">
        <v>1</v>
      </c>
      <c r="N42">
        <v>5</v>
      </c>
    </row>
    <row r="43" spans="1:14" x14ac:dyDescent="0.3">
      <c r="A43" s="42">
        <v>42</v>
      </c>
      <c r="B43">
        <v>4</v>
      </c>
      <c r="C43">
        <v>6</v>
      </c>
      <c r="D43">
        <v>5</v>
      </c>
      <c r="E43">
        <v>6</v>
      </c>
      <c r="F43">
        <v>6</v>
      </c>
      <c r="G43">
        <v>2</v>
      </c>
      <c r="H43">
        <v>6</v>
      </c>
      <c r="I43">
        <v>6</v>
      </c>
      <c r="J43">
        <v>2</v>
      </c>
      <c r="K43">
        <v>1</v>
      </c>
      <c r="L43">
        <v>1</v>
      </c>
      <c r="M43">
        <v>1</v>
      </c>
      <c r="N43">
        <v>5</v>
      </c>
    </row>
    <row r="44" spans="1:14" x14ac:dyDescent="0.3">
      <c r="A44" s="42">
        <v>43</v>
      </c>
      <c r="B44">
        <v>1</v>
      </c>
      <c r="C44">
        <v>6</v>
      </c>
      <c r="D44">
        <v>5</v>
      </c>
      <c r="E44">
        <v>2</v>
      </c>
      <c r="F44">
        <v>1</v>
      </c>
      <c r="G44">
        <v>6</v>
      </c>
      <c r="H44">
        <v>4</v>
      </c>
      <c r="I44">
        <v>5</v>
      </c>
      <c r="J44">
        <v>2</v>
      </c>
      <c r="K44">
        <v>1</v>
      </c>
      <c r="L44">
        <v>6</v>
      </c>
      <c r="M44">
        <v>3</v>
      </c>
      <c r="N44">
        <v>1</v>
      </c>
    </row>
    <row r="45" spans="1:14" x14ac:dyDescent="0.3">
      <c r="A45" s="42">
        <v>44</v>
      </c>
      <c r="B45">
        <v>1</v>
      </c>
      <c r="C45">
        <v>5</v>
      </c>
      <c r="D45">
        <v>6</v>
      </c>
      <c r="E45">
        <v>2</v>
      </c>
      <c r="F45">
        <v>1</v>
      </c>
      <c r="G45">
        <v>6</v>
      </c>
      <c r="H45">
        <v>4</v>
      </c>
      <c r="I45">
        <v>5</v>
      </c>
      <c r="J45">
        <v>2</v>
      </c>
      <c r="K45">
        <v>6</v>
      </c>
      <c r="L45">
        <v>6</v>
      </c>
      <c r="M45">
        <v>3</v>
      </c>
      <c r="N45">
        <v>6</v>
      </c>
    </row>
    <row r="46" spans="1:14" x14ac:dyDescent="0.3">
      <c r="A46" s="42">
        <v>45</v>
      </c>
      <c r="B46">
        <v>6</v>
      </c>
      <c r="C46">
        <v>1</v>
      </c>
      <c r="D46">
        <v>2</v>
      </c>
      <c r="E46">
        <v>2</v>
      </c>
      <c r="F46">
        <v>3</v>
      </c>
      <c r="G46">
        <v>1</v>
      </c>
      <c r="H46">
        <v>4</v>
      </c>
      <c r="I46">
        <v>5</v>
      </c>
      <c r="J46">
        <v>1</v>
      </c>
      <c r="K46">
        <v>5</v>
      </c>
      <c r="L46">
        <v>6</v>
      </c>
      <c r="M46">
        <v>6</v>
      </c>
      <c r="N46">
        <v>6</v>
      </c>
    </row>
    <row r="47" spans="1:14" x14ac:dyDescent="0.3">
      <c r="A47" s="42">
        <v>46</v>
      </c>
      <c r="B47">
        <v>6</v>
      </c>
      <c r="C47">
        <v>5</v>
      </c>
      <c r="D47">
        <v>2</v>
      </c>
      <c r="E47">
        <v>1</v>
      </c>
      <c r="F47">
        <v>3</v>
      </c>
      <c r="G47">
        <v>4</v>
      </c>
      <c r="H47">
        <v>1</v>
      </c>
      <c r="I47">
        <v>6</v>
      </c>
      <c r="J47">
        <v>6</v>
      </c>
      <c r="K47">
        <v>5</v>
      </c>
      <c r="L47">
        <v>1</v>
      </c>
      <c r="M47">
        <v>2</v>
      </c>
      <c r="N47">
        <v>6</v>
      </c>
    </row>
    <row r="48" spans="1:14" x14ac:dyDescent="0.3">
      <c r="A48" s="42">
        <v>47</v>
      </c>
      <c r="B48">
        <v>3</v>
      </c>
      <c r="C48">
        <v>5</v>
      </c>
      <c r="D48">
        <v>6</v>
      </c>
      <c r="E48">
        <v>6</v>
      </c>
      <c r="F48">
        <v>6</v>
      </c>
      <c r="G48">
        <v>5</v>
      </c>
      <c r="H48">
        <v>1</v>
      </c>
      <c r="I48">
        <v>2</v>
      </c>
      <c r="J48">
        <v>6</v>
      </c>
      <c r="K48">
        <v>6</v>
      </c>
      <c r="L48">
        <v>4</v>
      </c>
      <c r="M48">
        <v>2</v>
      </c>
      <c r="N48">
        <v>6</v>
      </c>
    </row>
    <row r="49" spans="1:14" x14ac:dyDescent="0.3">
      <c r="A49" s="42">
        <v>48</v>
      </c>
      <c r="B49">
        <v>6</v>
      </c>
      <c r="C49">
        <v>1</v>
      </c>
      <c r="D49">
        <v>5</v>
      </c>
      <c r="E49">
        <v>2</v>
      </c>
      <c r="F49">
        <v>6</v>
      </c>
      <c r="G49">
        <v>5</v>
      </c>
      <c r="H49">
        <v>6</v>
      </c>
      <c r="I49">
        <v>2</v>
      </c>
      <c r="J49">
        <v>6</v>
      </c>
      <c r="K49">
        <v>6</v>
      </c>
      <c r="L49">
        <v>4</v>
      </c>
      <c r="M49">
        <v>6</v>
      </c>
      <c r="N49">
        <v>6</v>
      </c>
    </row>
    <row r="50" spans="1:14" x14ac:dyDescent="0.3">
      <c r="A50" s="42">
        <v>49</v>
      </c>
      <c r="B50">
        <v>2</v>
      </c>
      <c r="C50">
        <v>6</v>
      </c>
      <c r="D50">
        <v>5</v>
      </c>
      <c r="E50">
        <v>2</v>
      </c>
      <c r="F50">
        <v>5</v>
      </c>
      <c r="G50">
        <v>6</v>
      </c>
      <c r="H50">
        <v>6</v>
      </c>
      <c r="I50">
        <v>6</v>
      </c>
      <c r="J50">
        <v>6</v>
      </c>
      <c r="K50">
        <v>1</v>
      </c>
      <c r="L50">
        <v>4</v>
      </c>
      <c r="M50">
        <v>1</v>
      </c>
      <c r="N50">
        <v>1</v>
      </c>
    </row>
    <row r="51" spans="1:14" x14ac:dyDescent="0.3">
      <c r="A51" s="42">
        <v>50</v>
      </c>
      <c r="B51">
        <v>1</v>
      </c>
      <c r="C51">
        <v>6</v>
      </c>
      <c r="D51">
        <v>6</v>
      </c>
      <c r="E51">
        <v>2</v>
      </c>
      <c r="F51">
        <v>5</v>
      </c>
      <c r="G51">
        <v>1</v>
      </c>
      <c r="H51">
        <v>5</v>
      </c>
      <c r="I51">
        <v>6</v>
      </c>
      <c r="J51">
        <v>1</v>
      </c>
      <c r="K51">
        <v>4</v>
      </c>
      <c r="L51">
        <v>6</v>
      </c>
      <c r="M51">
        <v>2</v>
      </c>
      <c r="N51">
        <v>3</v>
      </c>
    </row>
    <row r="52" spans="1:14" x14ac:dyDescent="0.3">
      <c r="A52" s="42">
        <v>51</v>
      </c>
      <c r="B52">
        <v>6</v>
      </c>
      <c r="C52">
        <v>5</v>
      </c>
      <c r="D52">
        <v>4</v>
      </c>
      <c r="E52">
        <v>6</v>
      </c>
      <c r="F52">
        <v>1</v>
      </c>
      <c r="G52">
        <v>6</v>
      </c>
      <c r="H52">
        <v>5</v>
      </c>
      <c r="I52">
        <v>1</v>
      </c>
      <c r="J52">
        <v>2</v>
      </c>
      <c r="K52">
        <v>1</v>
      </c>
      <c r="L52">
        <v>6</v>
      </c>
      <c r="M52">
        <v>2</v>
      </c>
      <c r="N52">
        <v>3</v>
      </c>
    </row>
    <row r="53" spans="1:14" x14ac:dyDescent="0.3">
      <c r="A53" s="42">
        <v>52</v>
      </c>
      <c r="B53">
        <v>5</v>
      </c>
      <c r="C53">
        <v>5</v>
      </c>
      <c r="D53">
        <v>4</v>
      </c>
      <c r="E53">
        <v>6</v>
      </c>
      <c r="F53">
        <v>6</v>
      </c>
      <c r="G53">
        <v>1</v>
      </c>
      <c r="H53">
        <v>1</v>
      </c>
      <c r="I53">
        <v>2</v>
      </c>
      <c r="J53">
        <v>2</v>
      </c>
      <c r="K53">
        <v>1</v>
      </c>
      <c r="L53">
        <v>6</v>
      </c>
      <c r="M53">
        <v>6</v>
      </c>
      <c r="N53">
        <v>3</v>
      </c>
    </row>
    <row r="54" spans="1:14" x14ac:dyDescent="0.3">
      <c r="A54" s="42">
        <v>53</v>
      </c>
      <c r="B54">
        <v>5</v>
      </c>
      <c r="C54">
        <v>5</v>
      </c>
      <c r="D54">
        <v>4</v>
      </c>
      <c r="E54">
        <v>2</v>
      </c>
      <c r="F54">
        <v>6</v>
      </c>
      <c r="G54">
        <v>2</v>
      </c>
      <c r="H54">
        <v>3</v>
      </c>
      <c r="I54">
        <v>1</v>
      </c>
      <c r="J54">
        <v>1</v>
      </c>
      <c r="K54">
        <v>6</v>
      </c>
      <c r="L54">
        <v>6</v>
      </c>
      <c r="M54">
        <v>6</v>
      </c>
      <c r="N54">
        <v>6</v>
      </c>
    </row>
    <row r="55" spans="1:14" x14ac:dyDescent="0.3">
      <c r="A55" s="42">
        <v>54</v>
      </c>
      <c r="B55">
        <v>5</v>
      </c>
      <c r="C55">
        <v>1</v>
      </c>
      <c r="D55">
        <v>6</v>
      </c>
      <c r="E55">
        <v>5</v>
      </c>
      <c r="F55">
        <v>2</v>
      </c>
      <c r="G55">
        <v>6</v>
      </c>
      <c r="H55">
        <v>3</v>
      </c>
      <c r="I55">
        <v>6</v>
      </c>
      <c r="J55">
        <v>6</v>
      </c>
      <c r="K55">
        <v>6</v>
      </c>
      <c r="L55">
        <v>6</v>
      </c>
      <c r="M55">
        <v>4</v>
      </c>
      <c r="N55">
        <v>2</v>
      </c>
    </row>
    <row r="56" spans="1:14" x14ac:dyDescent="0.3">
      <c r="A56" s="42">
        <v>55</v>
      </c>
      <c r="B56">
        <v>6</v>
      </c>
      <c r="C56">
        <v>1</v>
      </c>
      <c r="D56">
        <v>1</v>
      </c>
      <c r="E56">
        <v>5</v>
      </c>
      <c r="F56">
        <v>2</v>
      </c>
      <c r="G56">
        <v>1</v>
      </c>
      <c r="H56">
        <v>6</v>
      </c>
      <c r="I56">
        <v>6</v>
      </c>
      <c r="J56">
        <v>6</v>
      </c>
      <c r="K56">
        <v>5</v>
      </c>
      <c r="L56">
        <v>6</v>
      </c>
      <c r="M56">
        <v>4</v>
      </c>
      <c r="N56">
        <v>2</v>
      </c>
    </row>
    <row r="57" spans="1:14" x14ac:dyDescent="0.3">
      <c r="A57" s="42">
        <v>56</v>
      </c>
      <c r="B57">
        <v>6</v>
      </c>
      <c r="C57">
        <v>6</v>
      </c>
      <c r="D57">
        <v>2</v>
      </c>
      <c r="E57">
        <v>6</v>
      </c>
      <c r="F57">
        <v>2</v>
      </c>
      <c r="G57">
        <v>6</v>
      </c>
      <c r="H57">
        <v>6</v>
      </c>
      <c r="I57">
        <v>5</v>
      </c>
      <c r="J57">
        <v>5</v>
      </c>
      <c r="K57">
        <v>1</v>
      </c>
      <c r="L57">
        <v>1</v>
      </c>
      <c r="M57">
        <v>4</v>
      </c>
      <c r="N57">
        <v>1</v>
      </c>
    </row>
    <row r="58" spans="1:14" x14ac:dyDescent="0.3">
      <c r="A58" s="42">
        <v>57</v>
      </c>
      <c r="B58">
        <v>4</v>
      </c>
      <c r="C58">
        <v>6</v>
      </c>
      <c r="D58">
        <v>2</v>
      </c>
      <c r="E58">
        <v>1</v>
      </c>
      <c r="F58">
        <v>1</v>
      </c>
      <c r="G58">
        <v>5</v>
      </c>
      <c r="H58">
        <v>3</v>
      </c>
      <c r="I58">
        <v>1</v>
      </c>
      <c r="J58">
        <v>5</v>
      </c>
      <c r="K58">
        <v>6</v>
      </c>
      <c r="L58">
        <v>2</v>
      </c>
      <c r="M58">
        <v>1</v>
      </c>
      <c r="N58">
        <v>6</v>
      </c>
    </row>
    <row r="59" spans="1:14" x14ac:dyDescent="0.3">
      <c r="A59" s="42">
        <v>58</v>
      </c>
      <c r="B59">
        <v>4</v>
      </c>
      <c r="C59">
        <v>3</v>
      </c>
      <c r="D59">
        <v>1</v>
      </c>
      <c r="E59">
        <v>1</v>
      </c>
      <c r="F59">
        <v>6</v>
      </c>
      <c r="G59">
        <v>5</v>
      </c>
      <c r="H59">
        <v>2</v>
      </c>
      <c r="I59">
        <v>6</v>
      </c>
      <c r="J59">
        <v>5</v>
      </c>
      <c r="K59">
        <v>6</v>
      </c>
      <c r="L59">
        <v>2</v>
      </c>
      <c r="M59">
        <v>6</v>
      </c>
      <c r="N59">
        <v>6</v>
      </c>
    </row>
    <row r="60" spans="1:14" x14ac:dyDescent="0.3">
      <c r="A60" s="42">
        <v>59</v>
      </c>
      <c r="B60">
        <v>4</v>
      </c>
      <c r="C60">
        <v>3</v>
      </c>
      <c r="D60">
        <v>6</v>
      </c>
      <c r="E60">
        <v>6</v>
      </c>
      <c r="F60">
        <v>1</v>
      </c>
      <c r="G60">
        <v>5</v>
      </c>
      <c r="H60">
        <v>2</v>
      </c>
      <c r="I60">
        <v>1</v>
      </c>
      <c r="J60">
        <v>5</v>
      </c>
      <c r="K60">
        <v>6</v>
      </c>
      <c r="L60">
        <v>2</v>
      </c>
      <c r="M60">
        <v>6</v>
      </c>
      <c r="N60">
        <v>6</v>
      </c>
    </row>
    <row r="61" spans="1:14" x14ac:dyDescent="0.3">
      <c r="A61" s="42">
        <v>60</v>
      </c>
      <c r="B61">
        <v>1</v>
      </c>
      <c r="C61">
        <v>2</v>
      </c>
      <c r="D61">
        <v>3</v>
      </c>
      <c r="E61">
        <v>5</v>
      </c>
      <c r="F61">
        <v>6</v>
      </c>
      <c r="G61">
        <v>6</v>
      </c>
      <c r="H61">
        <v>1</v>
      </c>
      <c r="I61">
        <v>4</v>
      </c>
      <c r="J61">
        <v>1</v>
      </c>
      <c r="K61">
        <v>6</v>
      </c>
      <c r="L61">
        <v>2</v>
      </c>
      <c r="M61">
        <v>6</v>
      </c>
      <c r="N61">
        <v>5</v>
      </c>
    </row>
    <row r="62" spans="1:14" x14ac:dyDescent="0.3">
      <c r="A62" s="42">
        <v>61</v>
      </c>
      <c r="B62">
        <v>1</v>
      </c>
      <c r="C62">
        <v>4</v>
      </c>
      <c r="D62">
        <v>3</v>
      </c>
      <c r="E62">
        <v>5</v>
      </c>
      <c r="F62">
        <v>1</v>
      </c>
      <c r="G62">
        <v>2</v>
      </c>
      <c r="H62">
        <v>1</v>
      </c>
      <c r="I62">
        <v>1</v>
      </c>
      <c r="J62">
        <v>6</v>
      </c>
      <c r="K62">
        <v>6</v>
      </c>
      <c r="L62">
        <v>6</v>
      </c>
      <c r="M62">
        <v>2</v>
      </c>
      <c r="N62">
        <v>5</v>
      </c>
    </row>
    <row r="63" spans="1:14" x14ac:dyDescent="0.3">
      <c r="A63" s="42">
        <v>62</v>
      </c>
      <c r="B63">
        <v>6</v>
      </c>
      <c r="C63">
        <v>4</v>
      </c>
      <c r="D63">
        <v>5</v>
      </c>
      <c r="E63">
        <v>1</v>
      </c>
      <c r="F63">
        <v>1</v>
      </c>
      <c r="G63">
        <v>2</v>
      </c>
      <c r="H63">
        <v>6</v>
      </c>
      <c r="I63">
        <v>1</v>
      </c>
      <c r="J63">
        <v>6</v>
      </c>
      <c r="K63">
        <v>6</v>
      </c>
      <c r="L63">
        <v>2</v>
      </c>
      <c r="M63">
        <v>6</v>
      </c>
      <c r="N63">
        <v>5</v>
      </c>
    </row>
    <row r="64" spans="1:14" x14ac:dyDescent="0.3">
      <c r="A64" s="42">
        <v>63</v>
      </c>
      <c r="B64">
        <v>2</v>
      </c>
      <c r="C64">
        <v>6</v>
      </c>
      <c r="D64">
        <v>6</v>
      </c>
      <c r="E64">
        <v>6</v>
      </c>
      <c r="F64">
        <v>5</v>
      </c>
      <c r="G64">
        <v>6</v>
      </c>
      <c r="H64">
        <v>6</v>
      </c>
      <c r="I64">
        <v>6</v>
      </c>
      <c r="J64">
        <v>4</v>
      </c>
      <c r="K64">
        <v>1</v>
      </c>
      <c r="L64">
        <v>2</v>
      </c>
      <c r="M64">
        <v>5</v>
      </c>
      <c r="N64">
        <v>1</v>
      </c>
    </row>
    <row r="65" spans="1:14" x14ac:dyDescent="0.3">
      <c r="A65" s="42">
        <v>64</v>
      </c>
      <c r="B65">
        <v>2</v>
      </c>
      <c r="C65">
        <v>6</v>
      </c>
      <c r="D65">
        <v>1</v>
      </c>
      <c r="E65">
        <v>2</v>
      </c>
      <c r="F65">
        <v>5</v>
      </c>
      <c r="G65">
        <v>5</v>
      </c>
      <c r="H65">
        <v>1</v>
      </c>
      <c r="I65">
        <v>6</v>
      </c>
      <c r="J65">
        <v>4</v>
      </c>
      <c r="K65">
        <v>3</v>
      </c>
      <c r="L65">
        <v>6</v>
      </c>
      <c r="M65">
        <v>1</v>
      </c>
      <c r="N65">
        <v>6</v>
      </c>
    </row>
    <row r="66" spans="1:14" x14ac:dyDescent="0.3">
      <c r="A66" s="42">
        <v>65</v>
      </c>
      <c r="B66">
        <v>2</v>
      </c>
      <c r="C66">
        <v>1</v>
      </c>
      <c r="D66">
        <v>2</v>
      </c>
      <c r="E66">
        <v>1</v>
      </c>
      <c r="F66">
        <v>6</v>
      </c>
      <c r="G66">
        <v>5</v>
      </c>
      <c r="H66">
        <v>5</v>
      </c>
      <c r="I66">
        <v>4</v>
      </c>
      <c r="J66">
        <v>1</v>
      </c>
      <c r="K66">
        <v>3</v>
      </c>
      <c r="L66">
        <v>6</v>
      </c>
      <c r="M66">
        <v>6</v>
      </c>
      <c r="N66">
        <v>6</v>
      </c>
    </row>
    <row r="67" spans="1:14" x14ac:dyDescent="0.3">
      <c r="A67" s="42">
        <v>66</v>
      </c>
      <c r="B67">
        <v>2</v>
      </c>
      <c r="C67">
        <v>2</v>
      </c>
      <c r="D67">
        <v>6</v>
      </c>
      <c r="E67">
        <v>6</v>
      </c>
      <c r="F67">
        <v>6</v>
      </c>
      <c r="G67">
        <v>5</v>
      </c>
      <c r="H67">
        <v>5</v>
      </c>
      <c r="I67">
        <v>4</v>
      </c>
      <c r="J67">
        <v>6</v>
      </c>
      <c r="K67">
        <v>3</v>
      </c>
      <c r="L67">
        <v>6</v>
      </c>
      <c r="M67">
        <v>6</v>
      </c>
      <c r="N67">
        <v>6</v>
      </c>
    </row>
    <row r="68" spans="1:14" x14ac:dyDescent="0.3">
      <c r="A68" s="42">
        <v>67</v>
      </c>
      <c r="B68">
        <v>1</v>
      </c>
      <c r="C68">
        <v>2</v>
      </c>
      <c r="D68">
        <v>2</v>
      </c>
      <c r="E68">
        <v>1</v>
      </c>
      <c r="F68">
        <v>4</v>
      </c>
      <c r="G68">
        <v>6</v>
      </c>
      <c r="H68">
        <v>5</v>
      </c>
      <c r="I68">
        <v>3</v>
      </c>
      <c r="J68">
        <v>6</v>
      </c>
      <c r="K68">
        <v>6</v>
      </c>
      <c r="L68">
        <v>5</v>
      </c>
      <c r="M68">
        <v>6</v>
      </c>
      <c r="N68">
        <v>6</v>
      </c>
    </row>
    <row r="69" spans="1:14" x14ac:dyDescent="0.3">
      <c r="A69" s="42">
        <v>68</v>
      </c>
      <c r="B69">
        <v>6</v>
      </c>
      <c r="C69">
        <v>5</v>
      </c>
      <c r="D69">
        <v>2</v>
      </c>
      <c r="E69">
        <v>2</v>
      </c>
      <c r="F69">
        <v>6</v>
      </c>
      <c r="G69">
        <v>4</v>
      </c>
      <c r="H69">
        <v>1</v>
      </c>
      <c r="I69">
        <v>3</v>
      </c>
      <c r="J69">
        <v>6</v>
      </c>
      <c r="K69">
        <v>6</v>
      </c>
      <c r="L69">
        <v>5</v>
      </c>
      <c r="M69">
        <v>6</v>
      </c>
      <c r="N69">
        <v>6</v>
      </c>
    </row>
    <row r="70" spans="1:14" x14ac:dyDescent="0.3">
      <c r="A70" s="42">
        <v>69</v>
      </c>
      <c r="B70">
        <v>6</v>
      </c>
      <c r="C70">
        <v>5</v>
      </c>
      <c r="D70">
        <v>6</v>
      </c>
      <c r="E70">
        <v>2</v>
      </c>
      <c r="F70">
        <v>1</v>
      </c>
      <c r="G70">
        <v>4</v>
      </c>
      <c r="H70">
        <v>6</v>
      </c>
      <c r="I70">
        <v>1</v>
      </c>
      <c r="J70">
        <v>2</v>
      </c>
      <c r="K70">
        <v>1</v>
      </c>
      <c r="L70">
        <v>5</v>
      </c>
      <c r="M70">
        <v>6</v>
      </c>
      <c r="N70">
        <v>6</v>
      </c>
    </row>
    <row r="71" spans="1:14" x14ac:dyDescent="0.3">
      <c r="A71" s="42">
        <v>70</v>
      </c>
      <c r="B71">
        <v>5</v>
      </c>
      <c r="C71">
        <v>6</v>
      </c>
      <c r="D71">
        <v>4</v>
      </c>
      <c r="E71">
        <v>2</v>
      </c>
      <c r="F71">
        <v>1</v>
      </c>
      <c r="G71">
        <v>6</v>
      </c>
      <c r="H71">
        <v>6</v>
      </c>
      <c r="I71">
        <v>6</v>
      </c>
      <c r="J71">
        <v>2</v>
      </c>
      <c r="K71">
        <v>1</v>
      </c>
      <c r="L71">
        <v>1</v>
      </c>
      <c r="M71">
        <v>5</v>
      </c>
      <c r="N71">
        <v>1</v>
      </c>
    </row>
    <row r="72" spans="1:14" x14ac:dyDescent="0.3">
      <c r="A72" s="42">
        <v>71</v>
      </c>
      <c r="B72">
        <v>5</v>
      </c>
      <c r="C72">
        <v>6</v>
      </c>
      <c r="D72">
        <v>4</v>
      </c>
      <c r="E72">
        <v>6</v>
      </c>
      <c r="F72">
        <v>6</v>
      </c>
      <c r="G72">
        <v>3</v>
      </c>
      <c r="H72">
        <v>1</v>
      </c>
      <c r="I72">
        <v>6</v>
      </c>
      <c r="J72">
        <v>2</v>
      </c>
      <c r="K72">
        <v>2</v>
      </c>
      <c r="L72">
        <v>1</v>
      </c>
      <c r="M72">
        <v>5</v>
      </c>
      <c r="N72">
        <v>1</v>
      </c>
    </row>
    <row r="73" spans="1:14" x14ac:dyDescent="0.3">
      <c r="A73" s="42">
        <v>72</v>
      </c>
      <c r="B73">
        <v>5</v>
      </c>
      <c r="C73">
        <v>2</v>
      </c>
      <c r="D73">
        <v>3</v>
      </c>
      <c r="E73">
        <v>6</v>
      </c>
      <c r="F73">
        <v>1</v>
      </c>
      <c r="G73">
        <v>1</v>
      </c>
      <c r="H73">
        <v>4</v>
      </c>
      <c r="I73">
        <v>1</v>
      </c>
      <c r="J73">
        <v>6</v>
      </c>
      <c r="K73">
        <v>2</v>
      </c>
      <c r="L73">
        <v>6</v>
      </c>
      <c r="M73">
        <v>5</v>
      </c>
      <c r="N73">
        <v>6</v>
      </c>
    </row>
    <row r="74" spans="1:14" x14ac:dyDescent="0.3">
      <c r="A74" s="42">
        <v>73</v>
      </c>
      <c r="B74">
        <v>5</v>
      </c>
      <c r="C74">
        <v>2</v>
      </c>
      <c r="D74">
        <v>6</v>
      </c>
      <c r="E74">
        <v>1</v>
      </c>
      <c r="F74">
        <v>1</v>
      </c>
      <c r="G74">
        <v>1</v>
      </c>
      <c r="H74">
        <v>4</v>
      </c>
      <c r="I74">
        <v>3</v>
      </c>
      <c r="J74">
        <v>5</v>
      </c>
      <c r="K74">
        <v>2</v>
      </c>
      <c r="L74">
        <v>6</v>
      </c>
      <c r="M74">
        <v>1</v>
      </c>
      <c r="N74">
        <v>6</v>
      </c>
    </row>
    <row r="75" spans="1:14" x14ac:dyDescent="0.3">
      <c r="A75" s="42">
        <v>74</v>
      </c>
      <c r="B75">
        <v>1</v>
      </c>
      <c r="C75">
        <v>2</v>
      </c>
      <c r="D75">
        <v>6</v>
      </c>
      <c r="E75">
        <v>5</v>
      </c>
      <c r="F75">
        <v>5</v>
      </c>
      <c r="G75">
        <v>6</v>
      </c>
      <c r="H75">
        <v>4</v>
      </c>
      <c r="I75">
        <v>3</v>
      </c>
      <c r="J75">
        <v>1</v>
      </c>
      <c r="K75">
        <v>6</v>
      </c>
      <c r="L75">
        <v>6</v>
      </c>
      <c r="M75">
        <v>2</v>
      </c>
      <c r="N75">
        <v>6</v>
      </c>
    </row>
    <row r="76" spans="1:14" x14ac:dyDescent="0.3">
      <c r="A76" s="42">
        <v>75</v>
      </c>
      <c r="B76">
        <v>6</v>
      </c>
      <c r="C76">
        <v>5</v>
      </c>
      <c r="D76">
        <v>2</v>
      </c>
      <c r="E76">
        <v>1</v>
      </c>
      <c r="F76">
        <v>1</v>
      </c>
      <c r="G76">
        <v>2</v>
      </c>
      <c r="H76">
        <v>1</v>
      </c>
      <c r="I76">
        <v>3</v>
      </c>
      <c r="J76">
        <v>4</v>
      </c>
      <c r="K76">
        <v>6</v>
      </c>
      <c r="L76">
        <v>6</v>
      </c>
      <c r="M76">
        <v>6</v>
      </c>
      <c r="N76">
        <v>5</v>
      </c>
    </row>
    <row r="77" spans="1:14" x14ac:dyDescent="0.3">
      <c r="A77" s="42">
        <v>76</v>
      </c>
      <c r="B77">
        <v>6</v>
      </c>
      <c r="C77">
        <v>5</v>
      </c>
      <c r="D77">
        <v>2</v>
      </c>
      <c r="E77">
        <v>1</v>
      </c>
      <c r="F77">
        <v>6</v>
      </c>
      <c r="G77">
        <v>2</v>
      </c>
      <c r="H77">
        <v>6</v>
      </c>
      <c r="I77">
        <v>1</v>
      </c>
      <c r="J77">
        <v>4</v>
      </c>
      <c r="K77">
        <v>1</v>
      </c>
      <c r="L77">
        <v>6</v>
      </c>
      <c r="M77">
        <v>6</v>
      </c>
      <c r="N77">
        <v>5</v>
      </c>
    </row>
    <row r="78" spans="1:14" x14ac:dyDescent="0.3">
      <c r="A78" s="42">
        <v>77</v>
      </c>
      <c r="B78">
        <v>1</v>
      </c>
      <c r="C78">
        <v>6</v>
      </c>
      <c r="D78">
        <v>5</v>
      </c>
      <c r="E78">
        <v>2</v>
      </c>
      <c r="F78">
        <v>4</v>
      </c>
      <c r="G78">
        <v>2</v>
      </c>
      <c r="H78">
        <v>6</v>
      </c>
      <c r="I78">
        <v>6</v>
      </c>
      <c r="J78">
        <v>6</v>
      </c>
      <c r="K78">
        <v>1</v>
      </c>
      <c r="L78">
        <v>1</v>
      </c>
      <c r="M78">
        <v>6</v>
      </c>
      <c r="N78">
        <v>5</v>
      </c>
    </row>
    <row r="79" spans="1:14" x14ac:dyDescent="0.3">
      <c r="A79" s="42">
        <v>78</v>
      </c>
      <c r="B79">
        <v>2</v>
      </c>
      <c r="C79">
        <v>6</v>
      </c>
      <c r="D79">
        <v>1</v>
      </c>
      <c r="E79">
        <v>2</v>
      </c>
      <c r="F79">
        <v>4</v>
      </c>
      <c r="G79">
        <v>6</v>
      </c>
      <c r="H79">
        <v>5</v>
      </c>
      <c r="I79">
        <v>6</v>
      </c>
      <c r="J79">
        <v>6</v>
      </c>
      <c r="K79">
        <v>6</v>
      </c>
      <c r="L79">
        <v>1</v>
      </c>
      <c r="M79">
        <v>3</v>
      </c>
      <c r="N79">
        <v>5</v>
      </c>
    </row>
    <row r="80" spans="1:14" x14ac:dyDescent="0.3">
      <c r="A80" s="42">
        <v>79</v>
      </c>
      <c r="B80">
        <v>2</v>
      </c>
      <c r="C80">
        <v>1</v>
      </c>
      <c r="D80">
        <v>6</v>
      </c>
      <c r="E80">
        <v>6</v>
      </c>
      <c r="F80">
        <v>6</v>
      </c>
      <c r="G80">
        <v>4</v>
      </c>
      <c r="H80">
        <v>5</v>
      </c>
      <c r="I80">
        <v>1</v>
      </c>
      <c r="J80">
        <v>3</v>
      </c>
      <c r="K80">
        <v>6</v>
      </c>
      <c r="L80">
        <v>2</v>
      </c>
      <c r="M80">
        <v>5</v>
      </c>
      <c r="N80">
        <v>6</v>
      </c>
    </row>
    <row r="81" spans="1:14" x14ac:dyDescent="0.3">
      <c r="A81" s="42">
        <v>80</v>
      </c>
      <c r="B81">
        <v>1</v>
      </c>
      <c r="C81">
        <v>4</v>
      </c>
      <c r="D81">
        <v>1</v>
      </c>
      <c r="E81">
        <v>6</v>
      </c>
      <c r="F81">
        <v>2</v>
      </c>
      <c r="G81">
        <v>6</v>
      </c>
      <c r="H81">
        <v>1</v>
      </c>
      <c r="I81">
        <v>2</v>
      </c>
      <c r="J81">
        <v>3</v>
      </c>
      <c r="K81">
        <v>6</v>
      </c>
      <c r="L81">
        <v>5</v>
      </c>
      <c r="M81">
        <v>5</v>
      </c>
      <c r="N81">
        <v>6</v>
      </c>
    </row>
    <row r="82" spans="1:14" x14ac:dyDescent="0.3">
      <c r="A82" s="42">
        <v>81</v>
      </c>
      <c r="B82">
        <v>6</v>
      </c>
      <c r="C82">
        <v>4</v>
      </c>
      <c r="D82">
        <v>1</v>
      </c>
      <c r="E82">
        <v>1</v>
      </c>
      <c r="F82">
        <v>2</v>
      </c>
      <c r="G82">
        <v>5</v>
      </c>
      <c r="H82">
        <v>3</v>
      </c>
      <c r="I82">
        <v>2</v>
      </c>
      <c r="J82">
        <v>6</v>
      </c>
      <c r="K82">
        <v>6</v>
      </c>
      <c r="L82">
        <v>5</v>
      </c>
      <c r="M82">
        <v>6</v>
      </c>
      <c r="N82">
        <v>6</v>
      </c>
    </row>
    <row r="83" spans="1:14" x14ac:dyDescent="0.3">
      <c r="A83" s="42">
        <v>82</v>
      </c>
      <c r="B83">
        <v>6</v>
      </c>
      <c r="C83">
        <v>5</v>
      </c>
      <c r="D83">
        <v>2</v>
      </c>
      <c r="E83">
        <v>5</v>
      </c>
      <c r="F83">
        <v>6</v>
      </c>
      <c r="G83">
        <v>1</v>
      </c>
      <c r="H83">
        <v>3</v>
      </c>
      <c r="I83">
        <v>2</v>
      </c>
      <c r="J83">
        <v>6</v>
      </c>
      <c r="K83">
        <v>6</v>
      </c>
      <c r="L83">
        <v>6</v>
      </c>
      <c r="M83">
        <v>4</v>
      </c>
      <c r="N83">
        <v>6</v>
      </c>
    </row>
    <row r="84" spans="1:14" x14ac:dyDescent="0.3">
      <c r="A84" s="42">
        <v>83</v>
      </c>
      <c r="B84">
        <v>1</v>
      </c>
      <c r="C84">
        <v>5</v>
      </c>
      <c r="D84">
        <v>2</v>
      </c>
      <c r="E84">
        <v>1</v>
      </c>
      <c r="F84">
        <v>5</v>
      </c>
      <c r="G84">
        <v>4</v>
      </c>
      <c r="H84">
        <v>6</v>
      </c>
      <c r="I84">
        <v>2</v>
      </c>
      <c r="J84">
        <v>6</v>
      </c>
      <c r="K84">
        <v>6</v>
      </c>
      <c r="L84">
        <v>6</v>
      </c>
      <c r="M84">
        <v>6</v>
      </c>
      <c r="N84">
        <v>6</v>
      </c>
    </row>
    <row r="85" spans="1:14" x14ac:dyDescent="0.3">
      <c r="A85" s="42">
        <v>84</v>
      </c>
      <c r="B85">
        <v>5</v>
      </c>
      <c r="C85">
        <v>6</v>
      </c>
      <c r="D85">
        <v>2</v>
      </c>
      <c r="E85">
        <v>2</v>
      </c>
      <c r="F85">
        <v>5</v>
      </c>
      <c r="G85">
        <v>4</v>
      </c>
      <c r="H85">
        <v>6</v>
      </c>
      <c r="I85">
        <v>1</v>
      </c>
      <c r="J85">
        <v>6</v>
      </c>
      <c r="K85">
        <v>1</v>
      </c>
      <c r="L85">
        <v>1</v>
      </c>
      <c r="M85">
        <v>6</v>
      </c>
      <c r="N85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D7371-9D79-4935-97F4-B6AC9D5455C6}">
  <sheetPr codeName="Hoja5"/>
  <dimension ref="A2:CJ59"/>
  <sheetViews>
    <sheetView tabSelected="1" zoomScale="80" zoomScaleNormal="80" workbookViewId="0">
      <selection activeCell="BI14" sqref="BI14:BK14"/>
    </sheetView>
  </sheetViews>
  <sheetFormatPr baseColWidth="10" defaultRowHeight="14.4" x14ac:dyDescent="0.3"/>
  <cols>
    <col min="2" max="2" width="6.21875" bestFit="1" customWidth="1"/>
    <col min="3" max="4" width="3.77734375" customWidth="1"/>
    <col min="5" max="14" width="4.33203125" customWidth="1"/>
    <col min="15" max="15" width="5.44140625" customWidth="1"/>
    <col min="16" max="16" width="5.21875" customWidth="1"/>
    <col min="17" max="17" width="5.44140625" customWidth="1"/>
    <col min="18" max="88" width="4.33203125" customWidth="1"/>
  </cols>
  <sheetData>
    <row r="2" spans="2:88" x14ac:dyDescent="0.3">
      <c r="B2" s="1" t="s">
        <v>0</v>
      </c>
      <c r="C2" s="1" t="s">
        <v>1</v>
      </c>
      <c r="D2" s="2" t="s">
        <v>2</v>
      </c>
      <c r="E2" s="3"/>
      <c r="F2" s="4"/>
      <c r="G2" s="4"/>
      <c r="H2" s="4"/>
      <c r="I2" s="4"/>
      <c r="J2" s="5"/>
      <c r="K2" s="6"/>
      <c r="L2" s="7"/>
      <c r="M2" s="4"/>
      <c r="N2" s="4"/>
      <c r="O2" s="4"/>
      <c r="P2" s="4"/>
      <c r="Q2" s="5"/>
      <c r="R2" s="6"/>
      <c r="S2" s="7"/>
      <c r="T2" s="4"/>
      <c r="U2" s="4"/>
      <c r="V2" s="4"/>
      <c r="W2" s="4"/>
      <c r="X2" s="5"/>
      <c r="Y2" s="6"/>
      <c r="Z2" s="7"/>
      <c r="AA2" s="4"/>
      <c r="AB2" s="4"/>
      <c r="AC2" s="4"/>
      <c r="AD2" s="4"/>
      <c r="AE2" s="5"/>
      <c r="AF2" s="6"/>
      <c r="AG2" s="7"/>
      <c r="AH2" s="4"/>
      <c r="AI2" s="4"/>
      <c r="AJ2" s="4"/>
      <c r="AK2" s="4"/>
      <c r="AL2" s="5"/>
      <c r="AM2" s="6"/>
      <c r="AN2" s="7"/>
      <c r="AO2" s="4"/>
      <c r="AP2" s="4"/>
      <c r="AQ2" s="4"/>
      <c r="AR2" s="4"/>
      <c r="AS2" s="5"/>
      <c r="AT2" s="6"/>
      <c r="AU2" s="7"/>
      <c r="AV2" s="4"/>
      <c r="AW2" s="4"/>
      <c r="AX2" s="4"/>
      <c r="AY2" s="4"/>
      <c r="AZ2" s="5"/>
      <c r="BA2" s="6"/>
      <c r="BB2" s="7"/>
      <c r="BC2" s="4"/>
      <c r="BD2" s="4"/>
      <c r="BE2" s="4"/>
      <c r="BF2" s="4"/>
      <c r="BG2" s="5"/>
      <c r="BH2" s="6"/>
      <c r="BI2" s="7"/>
      <c r="BJ2" s="4"/>
      <c r="BK2" s="4"/>
      <c r="BL2" s="4"/>
      <c r="BM2" s="4"/>
      <c r="BN2" s="5"/>
      <c r="BO2" s="6"/>
      <c r="BP2" s="7"/>
      <c r="BQ2" s="4"/>
      <c r="BR2" s="4"/>
      <c r="BS2" s="4"/>
      <c r="BT2" s="4"/>
      <c r="BU2" s="5"/>
      <c r="BV2" s="6"/>
      <c r="BW2" s="7"/>
      <c r="BX2" s="4"/>
      <c r="BY2" s="4"/>
      <c r="BZ2" s="4"/>
      <c r="CA2" s="4"/>
      <c r="CB2" s="5"/>
      <c r="CC2" s="6"/>
      <c r="CD2" s="7"/>
      <c r="CE2" s="4"/>
      <c r="CF2" s="4"/>
      <c r="CG2" s="4"/>
      <c r="CH2" s="4"/>
      <c r="CI2" s="5"/>
      <c r="CJ2" s="6"/>
    </row>
    <row r="3" spans="2:88" x14ac:dyDescent="0.3">
      <c r="B3" s="8" t="s">
        <v>29</v>
      </c>
      <c r="C3" s="8" t="s">
        <v>1</v>
      </c>
      <c r="D3" s="9" t="s">
        <v>2</v>
      </c>
      <c r="E3" s="10" t="s">
        <v>3</v>
      </c>
      <c r="F3" s="10" t="s">
        <v>4</v>
      </c>
      <c r="G3" s="10" t="s">
        <v>4</v>
      </c>
      <c r="H3" s="10" t="s">
        <v>5</v>
      </c>
      <c r="I3" s="10" t="s">
        <v>6</v>
      </c>
      <c r="J3" s="10" t="s">
        <v>7</v>
      </c>
      <c r="K3" s="11" t="s">
        <v>8</v>
      </c>
      <c r="L3" s="10" t="s">
        <v>3</v>
      </c>
      <c r="M3" s="10" t="s">
        <v>4</v>
      </c>
      <c r="N3" s="10" t="s">
        <v>4</v>
      </c>
      <c r="O3" s="10" t="s">
        <v>5</v>
      </c>
      <c r="P3" s="10" t="s">
        <v>6</v>
      </c>
      <c r="Q3" s="10" t="s">
        <v>7</v>
      </c>
      <c r="R3" s="11" t="s">
        <v>8</v>
      </c>
      <c r="S3" s="10" t="s">
        <v>3</v>
      </c>
      <c r="T3" s="10" t="s">
        <v>4</v>
      </c>
      <c r="U3" s="10" t="s">
        <v>4</v>
      </c>
      <c r="V3" s="10" t="s">
        <v>5</v>
      </c>
      <c r="W3" s="10" t="s">
        <v>6</v>
      </c>
      <c r="X3" s="10" t="s">
        <v>7</v>
      </c>
      <c r="Y3" s="11" t="s">
        <v>8</v>
      </c>
      <c r="Z3" s="10" t="s">
        <v>3</v>
      </c>
      <c r="AA3" s="10" t="s">
        <v>4</v>
      </c>
      <c r="AB3" s="10" t="s">
        <v>4</v>
      </c>
      <c r="AC3" s="10" t="s">
        <v>5</v>
      </c>
      <c r="AD3" s="10" t="s">
        <v>6</v>
      </c>
      <c r="AE3" s="10" t="s">
        <v>7</v>
      </c>
      <c r="AF3" s="11" t="s">
        <v>8</v>
      </c>
      <c r="AG3" s="10" t="s">
        <v>3</v>
      </c>
      <c r="AH3" s="10" t="s">
        <v>4</v>
      </c>
      <c r="AI3" s="10" t="s">
        <v>4</v>
      </c>
      <c r="AJ3" s="10" t="s">
        <v>5</v>
      </c>
      <c r="AK3" s="10" t="s">
        <v>6</v>
      </c>
      <c r="AL3" s="10" t="s">
        <v>7</v>
      </c>
      <c r="AM3" s="11" t="s">
        <v>8</v>
      </c>
      <c r="AN3" s="10" t="s">
        <v>3</v>
      </c>
      <c r="AO3" s="10" t="s">
        <v>4</v>
      </c>
      <c r="AP3" s="10" t="s">
        <v>4</v>
      </c>
      <c r="AQ3" s="10" t="s">
        <v>5</v>
      </c>
      <c r="AR3" s="10" t="s">
        <v>6</v>
      </c>
      <c r="AS3" s="10" t="s">
        <v>7</v>
      </c>
      <c r="AT3" s="11" t="s">
        <v>8</v>
      </c>
      <c r="AU3" s="10" t="s">
        <v>3</v>
      </c>
      <c r="AV3" s="10" t="s">
        <v>4</v>
      </c>
      <c r="AW3" s="10" t="s">
        <v>4</v>
      </c>
      <c r="AX3" s="10" t="s">
        <v>5</v>
      </c>
      <c r="AY3" s="10" t="s">
        <v>6</v>
      </c>
      <c r="AZ3" s="10" t="s">
        <v>7</v>
      </c>
      <c r="BA3" s="11" t="s">
        <v>8</v>
      </c>
      <c r="BB3" s="10" t="s">
        <v>3</v>
      </c>
      <c r="BC3" s="10" t="s">
        <v>4</v>
      </c>
      <c r="BD3" s="10" t="s">
        <v>4</v>
      </c>
      <c r="BE3" s="10" t="s">
        <v>5</v>
      </c>
      <c r="BF3" s="10" t="s">
        <v>6</v>
      </c>
      <c r="BG3" s="10" t="s">
        <v>7</v>
      </c>
      <c r="BH3" s="11" t="s">
        <v>8</v>
      </c>
      <c r="BI3" s="10" t="s">
        <v>3</v>
      </c>
      <c r="BJ3" s="10" t="s">
        <v>4</v>
      </c>
      <c r="BK3" s="10" t="s">
        <v>4</v>
      </c>
      <c r="BL3" s="10" t="s">
        <v>5</v>
      </c>
      <c r="BM3" s="10" t="s">
        <v>6</v>
      </c>
      <c r="BN3" s="10" t="s">
        <v>7</v>
      </c>
      <c r="BO3" s="11" t="s">
        <v>8</v>
      </c>
      <c r="BP3" s="10" t="s">
        <v>3</v>
      </c>
      <c r="BQ3" s="10" t="s">
        <v>4</v>
      </c>
      <c r="BR3" s="10" t="s">
        <v>4</v>
      </c>
      <c r="BS3" s="10" t="s">
        <v>5</v>
      </c>
      <c r="BT3" s="10" t="s">
        <v>6</v>
      </c>
      <c r="BU3" s="10" t="s">
        <v>7</v>
      </c>
      <c r="BV3" s="11" t="s">
        <v>8</v>
      </c>
      <c r="BW3" s="10" t="s">
        <v>3</v>
      </c>
      <c r="BX3" s="10" t="s">
        <v>4</v>
      </c>
      <c r="BY3" s="10" t="s">
        <v>4</v>
      </c>
      <c r="BZ3" s="10" t="s">
        <v>5</v>
      </c>
      <c r="CA3" s="10" t="s">
        <v>6</v>
      </c>
      <c r="CB3" s="10" t="s">
        <v>7</v>
      </c>
      <c r="CC3" s="11" t="s">
        <v>8</v>
      </c>
      <c r="CD3" s="10" t="s">
        <v>3</v>
      </c>
      <c r="CE3" s="10" t="s">
        <v>4</v>
      </c>
      <c r="CF3" s="10" t="s">
        <v>4</v>
      </c>
      <c r="CG3" s="10" t="s">
        <v>5</v>
      </c>
      <c r="CH3" s="10" t="s">
        <v>6</v>
      </c>
      <c r="CI3" s="10" t="s">
        <v>7</v>
      </c>
      <c r="CJ3" s="11" t="s">
        <v>8</v>
      </c>
    </row>
    <row r="4" spans="2:88" x14ac:dyDescent="0.3">
      <c r="B4" s="12">
        <v>1</v>
      </c>
      <c r="C4" s="13">
        <v>100</v>
      </c>
      <c r="D4" s="14" t="s">
        <v>5</v>
      </c>
      <c r="E4" s="76" t="s">
        <v>25</v>
      </c>
      <c r="F4" s="35" t="s">
        <v>9</v>
      </c>
      <c r="G4" s="73" t="s">
        <v>4</v>
      </c>
      <c r="H4" s="35" t="s">
        <v>28</v>
      </c>
      <c r="I4" s="35" t="s">
        <v>28</v>
      </c>
      <c r="J4" s="75" t="s">
        <v>7</v>
      </c>
      <c r="K4" s="75" t="s">
        <v>7</v>
      </c>
      <c r="L4" s="75" t="s">
        <v>7</v>
      </c>
      <c r="M4" s="75" t="s">
        <v>7</v>
      </c>
      <c r="N4" s="35" t="s">
        <v>9</v>
      </c>
      <c r="O4" s="35" t="s">
        <v>28</v>
      </c>
      <c r="P4" s="73" t="s">
        <v>4</v>
      </c>
      <c r="Q4" s="73" t="s">
        <v>4</v>
      </c>
      <c r="R4" s="73" t="s">
        <v>4</v>
      </c>
      <c r="S4" s="35" t="s">
        <v>28</v>
      </c>
      <c r="T4" s="35" t="s">
        <v>28</v>
      </c>
      <c r="U4" s="76" t="s">
        <v>25</v>
      </c>
      <c r="V4" s="76" t="s">
        <v>25</v>
      </c>
      <c r="W4" s="76" t="s">
        <v>25</v>
      </c>
      <c r="X4" s="35" t="s">
        <v>9</v>
      </c>
      <c r="Y4" s="35" t="s">
        <v>28</v>
      </c>
      <c r="Z4" s="35" t="s">
        <v>9</v>
      </c>
      <c r="AA4" s="35" t="s">
        <v>28</v>
      </c>
      <c r="AB4" s="75" t="s">
        <v>7</v>
      </c>
      <c r="AC4" s="75" t="s">
        <v>7</v>
      </c>
      <c r="AD4" s="75" t="s">
        <v>7</v>
      </c>
      <c r="AE4" s="75" t="s">
        <v>7</v>
      </c>
      <c r="AF4" s="35" t="s">
        <v>9</v>
      </c>
      <c r="AG4" s="35" t="s">
        <v>28</v>
      </c>
      <c r="AH4" s="35" t="s">
        <v>28</v>
      </c>
      <c r="AI4" s="76" t="s">
        <v>25</v>
      </c>
      <c r="AJ4" s="35" t="s">
        <v>9</v>
      </c>
      <c r="AK4" s="35" t="s">
        <v>9</v>
      </c>
      <c r="AL4" s="35" t="s">
        <v>9</v>
      </c>
      <c r="AM4" s="35" t="s">
        <v>28</v>
      </c>
      <c r="AN4" s="74" t="s">
        <v>5</v>
      </c>
      <c r="AO4" s="74" t="s">
        <v>5</v>
      </c>
      <c r="AP4" s="35" t="s">
        <v>28</v>
      </c>
      <c r="AQ4" s="35" t="s">
        <v>9</v>
      </c>
      <c r="AR4" s="75" t="s">
        <v>7</v>
      </c>
      <c r="AS4" s="75" t="s">
        <v>7</v>
      </c>
      <c r="AT4" s="75" t="s">
        <v>7</v>
      </c>
      <c r="AU4" s="35" t="s">
        <v>9</v>
      </c>
      <c r="AV4" s="35" t="s">
        <v>9</v>
      </c>
      <c r="AW4" s="35" t="s">
        <v>28</v>
      </c>
      <c r="AX4" s="35" t="s">
        <v>28</v>
      </c>
      <c r="AY4" s="74" t="s">
        <v>5</v>
      </c>
      <c r="AZ4" s="35" t="s">
        <v>28</v>
      </c>
      <c r="BA4" s="73" t="s">
        <v>4</v>
      </c>
      <c r="BB4" s="35" t="s">
        <v>9</v>
      </c>
      <c r="BC4" s="35" t="s">
        <v>28</v>
      </c>
      <c r="BD4" s="76" t="s">
        <v>25</v>
      </c>
      <c r="BE4" s="76" t="s">
        <v>25</v>
      </c>
      <c r="BF4" s="76" t="s">
        <v>25</v>
      </c>
      <c r="BG4" s="35" t="s">
        <v>28</v>
      </c>
      <c r="BH4" s="35" t="s">
        <v>28</v>
      </c>
      <c r="BI4" s="75" t="s">
        <v>7</v>
      </c>
      <c r="BJ4" s="75" t="s">
        <v>7</v>
      </c>
      <c r="BK4" s="75" t="s">
        <v>7</v>
      </c>
      <c r="BL4" s="35" t="s">
        <v>9</v>
      </c>
      <c r="BM4" s="35" t="s">
        <v>9</v>
      </c>
      <c r="BN4" s="35" t="s">
        <v>28</v>
      </c>
      <c r="BO4" s="73" t="s">
        <v>4</v>
      </c>
      <c r="BP4" s="73" t="s">
        <v>4</v>
      </c>
      <c r="BQ4" s="73" t="s">
        <v>4</v>
      </c>
      <c r="BR4" s="73" t="s">
        <v>4</v>
      </c>
      <c r="BS4" s="35" t="s">
        <v>9</v>
      </c>
      <c r="BT4" s="35" t="s">
        <v>28</v>
      </c>
      <c r="BU4" s="35" t="s">
        <v>28</v>
      </c>
      <c r="BV4" s="76" t="s">
        <v>25</v>
      </c>
      <c r="BW4" s="76" t="s">
        <v>25</v>
      </c>
      <c r="BX4" s="76" t="s">
        <v>25</v>
      </c>
      <c r="BY4" s="76" t="s">
        <v>25</v>
      </c>
      <c r="BZ4" s="35" t="s">
        <v>9</v>
      </c>
      <c r="CA4" s="35" t="s">
        <v>28</v>
      </c>
      <c r="CB4" s="35" t="s">
        <v>28</v>
      </c>
      <c r="CC4" s="35" t="s">
        <v>9</v>
      </c>
      <c r="CD4" s="73" t="s">
        <v>4</v>
      </c>
      <c r="CE4" s="73" t="s">
        <v>4</v>
      </c>
      <c r="CF4" s="35" t="s">
        <v>9</v>
      </c>
      <c r="CG4" s="35" t="s">
        <v>28</v>
      </c>
      <c r="CH4" s="35" t="s">
        <v>28</v>
      </c>
      <c r="CI4" s="35" t="s">
        <v>9</v>
      </c>
      <c r="CJ4" s="76" t="s">
        <v>25</v>
      </c>
    </row>
    <row r="5" spans="2:88" x14ac:dyDescent="0.3">
      <c r="B5" s="12">
        <v>2</v>
      </c>
      <c r="C5" s="13">
        <v>100</v>
      </c>
      <c r="D5" s="14" t="s">
        <v>5</v>
      </c>
      <c r="E5" s="74" t="s">
        <v>5</v>
      </c>
      <c r="F5" s="73" t="s">
        <v>4</v>
      </c>
      <c r="G5" s="73" t="s">
        <v>4</v>
      </c>
      <c r="H5" s="75" t="s">
        <v>7</v>
      </c>
      <c r="I5" s="75" t="s">
        <v>7</v>
      </c>
      <c r="J5" s="35" t="s">
        <v>28</v>
      </c>
      <c r="K5" s="73" t="s">
        <v>4</v>
      </c>
      <c r="L5" s="73" t="s">
        <v>4</v>
      </c>
      <c r="M5" s="73" t="s">
        <v>4</v>
      </c>
      <c r="N5" s="73" t="s">
        <v>4</v>
      </c>
      <c r="O5" s="75" t="s">
        <v>7</v>
      </c>
      <c r="P5" s="35" t="s">
        <v>28</v>
      </c>
      <c r="Q5" s="35" t="s">
        <v>28</v>
      </c>
      <c r="R5" s="35" t="s">
        <v>9</v>
      </c>
      <c r="S5" s="35" t="s">
        <v>9</v>
      </c>
      <c r="T5" s="35" t="s">
        <v>28</v>
      </c>
      <c r="U5" s="73" t="s">
        <v>4</v>
      </c>
      <c r="V5" s="73" t="s">
        <v>4</v>
      </c>
      <c r="W5" s="35" t="s">
        <v>28</v>
      </c>
      <c r="X5" s="76" t="s">
        <v>25</v>
      </c>
      <c r="Y5" s="35" t="s">
        <v>9</v>
      </c>
      <c r="Z5" s="35" t="s">
        <v>28</v>
      </c>
      <c r="AA5" s="73" t="s">
        <v>4</v>
      </c>
      <c r="AB5" s="73" t="s">
        <v>4</v>
      </c>
      <c r="AC5" s="35" t="s">
        <v>9</v>
      </c>
      <c r="AD5" s="35" t="s">
        <v>9</v>
      </c>
      <c r="AE5" s="35" t="s">
        <v>28</v>
      </c>
      <c r="AF5" s="76" t="s">
        <v>25</v>
      </c>
      <c r="AG5" s="35" t="s">
        <v>9</v>
      </c>
      <c r="AH5" s="35" t="s">
        <v>9</v>
      </c>
      <c r="AI5" s="35" t="s">
        <v>28</v>
      </c>
      <c r="AJ5" s="76" t="s">
        <v>25</v>
      </c>
      <c r="AK5" s="35" t="s">
        <v>9</v>
      </c>
      <c r="AL5" s="35" t="s">
        <v>28</v>
      </c>
      <c r="AM5" s="35" t="s">
        <v>28</v>
      </c>
      <c r="AN5" s="76" t="s">
        <v>25</v>
      </c>
      <c r="AO5" s="76" t="s">
        <v>25</v>
      </c>
      <c r="AP5" s="76" t="s">
        <v>25</v>
      </c>
      <c r="AQ5" s="35" t="s">
        <v>28</v>
      </c>
      <c r="AR5" s="73" t="s">
        <v>4</v>
      </c>
      <c r="AS5" s="73" t="s">
        <v>4</v>
      </c>
      <c r="AT5" s="35" t="s">
        <v>28</v>
      </c>
      <c r="AU5" s="35" t="s">
        <v>28</v>
      </c>
      <c r="AV5" s="76" t="s">
        <v>25</v>
      </c>
      <c r="AW5" s="35" t="s">
        <v>9</v>
      </c>
      <c r="AX5" s="76" t="s">
        <v>25</v>
      </c>
      <c r="AY5" s="76" t="s">
        <v>25</v>
      </c>
      <c r="AZ5" s="35" t="s">
        <v>9</v>
      </c>
      <c r="BA5" s="35" t="s">
        <v>28</v>
      </c>
      <c r="BB5" s="35" t="s">
        <v>28</v>
      </c>
      <c r="BC5" s="76" t="s">
        <v>25</v>
      </c>
      <c r="BD5" s="76" t="s">
        <v>25</v>
      </c>
      <c r="BE5" s="76" t="s">
        <v>25</v>
      </c>
      <c r="BF5" s="35" t="s">
        <v>9</v>
      </c>
      <c r="BG5" s="35" t="s">
        <v>9</v>
      </c>
      <c r="BH5" s="35" t="s">
        <v>28</v>
      </c>
      <c r="BI5" s="35" t="s">
        <v>28</v>
      </c>
      <c r="BJ5" s="74" t="s">
        <v>5</v>
      </c>
      <c r="BK5" s="74" t="s">
        <v>5</v>
      </c>
      <c r="BL5" s="73" t="s">
        <v>4</v>
      </c>
      <c r="BM5" s="75" t="s">
        <v>7</v>
      </c>
      <c r="BN5" s="75" t="s">
        <v>7</v>
      </c>
      <c r="BO5" s="35" t="s">
        <v>28</v>
      </c>
      <c r="BP5" s="35" t="s">
        <v>28</v>
      </c>
      <c r="BQ5" s="35" t="s">
        <v>9</v>
      </c>
      <c r="BR5" s="73" t="s">
        <v>4</v>
      </c>
      <c r="BS5" s="73" t="s">
        <v>4</v>
      </c>
      <c r="BT5" s="76" t="s">
        <v>25</v>
      </c>
      <c r="BU5" s="76" t="s">
        <v>25</v>
      </c>
      <c r="BV5" s="35" t="s">
        <v>28</v>
      </c>
      <c r="BW5" s="35" t="s">
        <v>28</v>
      </c>
      <c r="BX5" s="73" t="s">
        <v>4</v>
      </c>
      <c r="BY5" s="73" t="s">
        <v>4</v>
      </c>
      <c r="BZ5" s="73" t="s">
        <v>4</v>
      </c>
      <c r="CA5" s="76" t="s">
        <v>25</v>
      </c>
      <c r="CB5" s="76" t="s">
        <v>25</v>
      </c>
      <c r="CC5" s="35" t="s">
        <v>28</v>
      </c>
      <c r="CD5" s="35" t="s">
        <v>28</v>
      </c>
      <c r="CE5" s="35" t="s">
        <v>9</v>
      </c>
      <c r="CF5" s="75" t="s">
        <v>7</v>
      </c>
      <c r="CG5" s="75" t="s">
        <v>7</v>
      </c>
      <c r="CH5" s="76" t="s">
        <v>25</v>
      </c>
      <c r="CI5" s="76" t="s">
        <v>25</v>
      </c>
      <c r="CJ5" s="35" t="s">
        <v>28</v>
      </c>
    </row>
    <row r="6" spans="2:88" x14ac:dyDescent="0.3">
      <c r="B6" s="12">
        <v>3</v>
      </c>
      <c r="C6" s="13">
        <v>100</v>
      </c>
      <c r="D6" s="14" t="s">
        <v>5</v>
      </c>
      <c r="E6" s="75" t="s">
        <v>7</v>
      </c>
      <c r="F6" s="74" t="s">
        <v>5</v>
      </c>
      <c r="G6" s="35" t="s">
        <v>28</v>
      </c>
      <c r="H6" s="35" t="s">
        <v>9</v>
      </c>
      <c r="I6" s="35" t="s">
        <v>9</v>
      </c>
      <c r="J6" s="73" t="s">
        <v>4</v>
      </c>
      <c r="K6" s="73" t="s">
        <v>4</v>
      </c>
      <c r="L6" s="35" t="s">
        <v>28</v>
      </c>
      <c r="M6" s="35" t="s">
        <v>9</v>
      </c>
      <c r="N6" s="35" t="s">
        <v>9</v>
      </c>
      <c r="O6" s="35" t="s">
        <v>9</v>
      </c>
      <c r="P6" s="35" t="s">
        <v>28</v>
      </c>
      <c r="Q6" s="35" t="s">
        <v>28</v>
      </c>
      <c r="R6" s="75" t="s">
        <v>7</v>
      </c>
      <c r="S6" s="75" t="s">
        <v>7</v>
      </c>
      <c r="T6" s="35" t="s">
        <v>9</v>
      </c>
      <c r="U6" s="35" t="s">
        <v>9</v>
      </c>
      <c r="V6" s="35" t="s">
        <v>28</v>
      </c>
      <c r="W6" s="73" t="s">
        <v>4</v>
      </c>
      <c r="X6" s="35" t="s">
        <v>9</v>
      </c>
      <c r="Y6" s="35" t="s">
        <v>28</v>
      </c>
      <c r="Z6" s="76" t="s">
        <v>25</v>
      </c>
      <c r="AA6" s="76" t="s">
        <v>25</v>
      </c>
      <c r="AB6" s="35" t="s">
        <v>9</v>
      </c>
      <c r="AC6" s="35" t="s">
        <v>28</v>
      </c>
      <c r="AD6" s="35" t="s">
        <v>28</v>
      </c>
      <c r="AE6" s="35" t="s">
        <v>28</v>
      </c>
      <c r="AF6" s="76" t="s">
        <v>25</v>
      </c>
      <c r="AG6" s="76" t="s">
        <v>25</v>
      </c>
      <c r="AH6" s="76" t="s">
        <v>25</v>
      </c>
      <c r="AI6" s="35" t="s">
        <v>9</v>
      </c>
      <c r="AJ6" s="35" t="s">
        <v>9</v>
      </c>
      <c r="AK6" s="35" t="s">
        <v>28</v>
      </c>
      <c r="AL6" s="35" t="s">
        <v>28</v>
      </c>
      <c r="AM6" s="76" t="s">
        <v>25</v>
      </c>
      <c r="AN6" s="76" t="s">
        <v>25</v>
      </c>
      <c r="AO6" s="35" t="s">
        <v>9</v>
      </c>
      <c r="AP6" s="35" t="s">
        <v>28</v>
      </c>
      <c r="AQ6" s="35" t="s">
        <v>9</v>
      </c>
      <c r="AR6" s="35" t="s">
        <v>28</v>
      </c>
      <c r="AS6" s="35" t="s">
        <v>9</v>
      </c>
      <c r="AT6" s="76" t="s">
        <v>25</v>
      </c>
      <c r="AU6" s="76" t="s">
        <v>25</v>
      </c>
      <c r="AV6" s="35" t="s">
        <v>28</v>
      </c>
      <c r="AW6" s="73" t="s">
        <v>4</v>
      </c>
      <c r="AX6" s="73" t="s">
        <v>4</v>
      </c>
      <c r="AY6" s="35" t="s">
        <v>28</v>
      </c>
      <c r="AZ6" s="76" t="s">
        <v>25</v>
      </c>
      <c r="BA6" s="76" t="s">
        <v>25</v>
      </c>
      <c r="BB6" s="35" t="s">
        <v>28</v>
      </c>
      <c r="BC6" s="75" t="s">
        <v>7</v>
      </c>
      <c r="BD6" s="75" t="s">
        <v>7</v>
      </c>
      <c r="BE6" s="75" t="s">
        <v>7</v>
      </c>
      <c r="BF6" s="35" t="s">
        <v>28</v>
      </c>
      <c r="BG6" s="35" t="s">
        <v>9</v>
      </c>
      <c r="BH6" s="73" t="s">
        <v>4</v>
      </c>
      <c r="BI6" s="73" t="s">
        <v>4</v>
      </c>
      <c r="BJ6" s="35" t="s">
        <v>9</v>
      </c>
      <c r="BK6" s="35" t="s">
        <v>28</v>
      </c>
      <c r="BL6" s="74" t="s">
        <v>5</v>
      </c>
      <c r="BM6" s="74" t="s">
        <v>5</v>
      </c>
      <c r="BN6" s="76" t="s">
        <v>25</v>
      </c>
      <c r="BO6" s="35" t="s">
        <v>28</v>
      </c>
      <c r="BP6" s="35" t="s">
        <v>9</v>
      </c>
      <c r="BQ6" s="73" t="s">
        <v>4</v>
      </c>
      <c r="BR6" s="35" t="s">
        <v>28</v>
      </c>
      <c r="BS6" s="73" t="s">
        <v>4</v>
      </c>
      <c r="BT6" s="73" t="s">
        <v>4</v>
      </c>
      <c r="BU6" s="35" t="s">
        <v>28</v>
      </c>
      <c r="BV6" s="75" t="s">
        <v>7</v>
      </c>
      <c r="BW6" s="75" t="s">
        <v>7</v>
      </c>
      <c r="BX6" s="74" t="s">
        <v>5</v>
      </c>
      <c r="BY6" s="35" t="s">
        <v>28</v>
      </c>
      <c r="BZ6" s="35" t="s">
        <v>28</v>
      </c>
      <c r="CA6" s="73" t="s">
        <v>4</v>
      </c>
      <c r="CB6" s="73" t="s">
        <v>4</v>
      </c>
      <c r="CC6" s="76" t="s">
        <v>25</v>
      </c>
      <c r="CD6" s="35" t="s">
        <v>9</v>
      </c>
      <c r="CE6" s="35" t="s">
        <v>28</v>
      </c>
      <c r="CF6" s="35" t="s">
        <v>9</v>
      </c>
      <c r="CG6" s="35" t="s">
        <v>9</v>
      </c>
      <c r="CH6" s="73" t="s">
        <v>4</v>
      </c>
      <c r="CI6" s="73" t="s">
        <v>4</v>
      </c>
      <c r="CJ6" s="73" t="s">
        <v>4</v>
      </c>
    </row>
    <row r="7" spans="2:88" x14ac:dyDescent="0.3">
      <c r="B7" s="12">
        <v>4</v>
      </c>
      <c r="C7" s="13">
        <v>100</v>
      </c>
      <c r="D7" s="14" t="s">
        <v>5</v>
      </c>
      <c r="E7" s="35" t="s">
        <v>9</v>
      </c>
      <c r="F7" s="35" t="s">
        <v>9</v>
      </c>
      <c r="G7" s="35" t="s">
        <v>9</v>
      </c>
      <c r="H7" s="73" t="s">
        <v>4</v>
      </c>
      <c r="I7" s="73" t="s">
        <v>4</v>
      </c>
      <c r="J7" s="35" t="s">
        <v>28</v>
      </c>
      <c r="K7" s="35" t="s">
        <v>28</v>
      </c>
      <c r="L7" s="76" t="s">
        <v>25</v>
      </c>
      <c r="M7" s="35" t="s">
        <v>28</v>
      </c>
      <c r="N7" s="74" t="s">
        <v>5</v>
      </c>
      <c r="O7" s="74" t="s">
        <v>5</v>
      </c>
      <c r="P7" s="74" t="s">
        <v>5</v>
      </c>
      <c r="Q7" s="35" t="s">
        <v>9</v>
      </c>
      <c r="R7" s="35" t="s">
        <v>28</v>
      </c>
      <c r="S7" s="73" t="s">
        <v>4</v>
      </c>
      <c r="T7" s="73" t="s">
        <v>4</v>
      </c>
      <c r="U7" s="35" t="s">
        <v>9</v>
      </c>
      <c r="V7" s="35" t="s">
        <v>28</v>
      </c>
      <c r="W7" s="35" t="s">
        <v>9</v>
      </c>
      <c r="X7" s="73" t="s">
        <v>4</v>
      </c>
      <c r="Y7" s="35" t="s">
        <v>9</v>
      </c>
      <c r="Z7" s="35" t="s">
        <v>28</v>
      </c>
      <c r="AA7" s="35" t="s">
        <v>28</v>
      </c>
      <c r="AB7" s="76" t="s">
        <v>25</v>
      </c>
      <c r="AC7" s="35" t="s">
        <v>9</v>
      </c>
      <c r="AD7" s="76" t="s">
        <v>25</v>
      </c>
      <c r="AE7" s="76" t="s">
        <v>25</v>
      </c>
      <c r="AF7" s="35" t="s">
        <v>28</v>
      </c>
      <c r="AG7" s="74" t="s">
        <v>5</v>
      </c>
      <c r="AH7" s="35" t="s">
        <v>28</v>
      </c>
      <c r="AI7" s="35" t="s">
        <v>28</v>
      </c>
      <c r="AJ7" s="76" t="s">
        <v>25</v>
      </c>
      <c r="AK7" s="76" t="s">
        <v>25</v>
      </c>
      <c r="AL7" s="35" t="s">
        <v>9</v>
      </c>
      <c r="AM7" s="76" t="s">
        <v>25</v>
      </c>
      <c r="AN7" s="35" t="s">
        <v>28</v>
      </c>
      <c r="AO7" s="35" t="s">
        <v>28</v>
      </c>
      <c r="AP7" s="74" t="s">
        <v>5</v>
      </c>
      <c r="AQ7" s="74" t="s">
        <v>5</v>
      </c>
      <c r="AR7" s="74" t="s">
        <v>5</v>
      </c>
      <c r="AS7" s="35" t="s">
        <v>9</v>
      </c>
      <c r="AT7" s="35" t="s">
        <v>28</v>
      </c>
      <c r="AU7" s="73" t="s">
        <v>4</v>
      </c>
      <c r="AV7" s="73" t="s">
        <v>4</v>
      </c>
      <c r="AW7" s="73" t="s">
        <v>4</v>
      </c>
      <c r="AX7" s="35" t="s">
        <v>9</v>
      </c>
      <c r="AY7" s="35" t="s">
        <v>28</v>
      </c>
      <c r="AZ7" s="73" t="s">
        <v>4</v>
      </c>
      <c r="BA7" s="73" t="s">
        <v>4</v>
      </c>
      <c r="BB7" s="73" t="s">
        <v>4</v>
      </c>
      <c r="BC7" s="35" t="s">
        <v>28</v>
      </c>
      <c r="BD7" s="35" t="s">
        <v>28</v>
      </c>
      <c r="BE7" s="73" t="s">
        <v>4</v>
      </c>
      <c r="BF7" s="76" t="s">
        <v>25</v>
      </c>
      <c r="BG7" s="76" t="s">
        <v>25</v>
      </c>
      <c r="BH7" s="35" t="s">
        <v>28</v>
      </c>
      <c r="BI7" s="35" t="s">
        <v>9</v>
      </c>
      <c r="BJ7" s="35" t="s">
        <v>9</v>
      </c>
      <c r="BK7" s="35" t="s">
        <v>28</v>
      </c>
      <c r="BL7" s="76" t="s">
        <v>25</v>
      </c>
      <c r="BM7" s="76" t="s">
        <v>25</v>
      </c>
      <c r="BN7" s="35" t="s">
        <v>9</v>
      </c>
      <c r="BO7" s="35" t="s">
        <v>28</v>
      </c>
      <c r="BP7" s="73" t="s">
        <v>4</v>
      </c>
      <c r="BQ7" s="35" t="s">
        <v>9</v>
      </c>
      <c r="BR7" s="35" t="s">
        <v>28</v>
      </c>
      <c r="BS7" s="35" t="s">
        <v>9</v>
      </c>
      <c r="BT7" s="73" t="s">
        <v>4</v>
      </c>
      <c r="BU7" s="73" t="s">
        <v>4</v>
      </c>
      <c r="BV7" s="73" t="s">
        <v>4</v>
      </c>
      <c r="BW7" s="35" t="s">
        <v>28</v>
      </c>
      <c r="BX7" s="35" t="s">
        <v>28</v>
      </c>
      <c r="BY7" s="35" t="s">
        <v>9</v>
      </c>
      <c r="BZ7" s="76" t="s">
        <v>25</v>
      </c>
      <c r="CA7" s="35" t="s">
        <v>9</v>
      </c>
      <c r="CB7" s="35" t="s">
        <v>9</v>
      </c>
      <c r="CC7" s="73" t="s">
        <v>4</v>
      </c>
      <c r="CD7" s="73" t="s">
        <v>4</v>
      </c>
      <c r="CE7" s="35" t="s">
        <v>28</v>
      </c>
      <c r="CF7" s="35" t="s">
        <v>28</v>
      </c>
      <c r="CG7" s="35" t="s">
        <v>9</v>
      </c>
      <c r="CH7" s="76" t="s">
        <v>25</v>
      </c>
      <c r="CI7" s="35" t="s">
        <v>9</v>
      </c>
      <c r="CJ7" s="73" t="s">
        <v>4</v>
      </c>
    </row>
    <row r="8" spans="2:88" x14ac:dyDescent="0.3">
      <c r="B8" s="12">
        <v>5</v>
      </c>
      <c r="C8" s="13">
        <v>100</v>
      </c>
      <c r="D8" s="14" t="s">
        <v>5</v>
      </c>
      <c r="E8" s="73" t="s">
        <v>4</v>
      </c>
      <c r="F8" s="73" t="s">
        <v>4</v>
      </c>
      <c r="G8" s="74" t="s">
        <v>5</v>
      </c>
      <c r="H8" s="74" t="s">
        <v>5</v>
      </c>
      <c r="I8" s="74" t="s">
        <v>5</v>
      </c>
      <c r="J8" s="35" t="s">
        <v>9</v>
      </c>
      <c r="K8" s="35" t="s">
        <v>28</v>
      </c>
      <c r="L8" s="35" t="s">
        <v>28</v>
      </c>
      <c r="M8" s="35" t="s">
        <v>9</v>
      </c>
      <c r="N8" s="35" t="s">
        <v>9</v>
      </c>
      <c r="O8" s="76" t="s">
        <v>25</v>
      </c>
      <c r="P8" s="76" t="s">
        <v>25</v>
      </c>
      <c r="Q8" s="35" t="s">
        <v>9</v>
      </c>
      <c r="R8" s="35" t="s">
        <v>28</v>
      </c>
      <c r="S8" s="35" t="s">
        <v>28</v>
      </c>
      <c r="T8" s="73" t="s">
        <v>4</v>
      </c>
      <c r="U8" s="35" t="s">
        <v>9</v>
      </c>
      <c r="V8" s="35" t="s">
        <v>28</v>
      </c>
      <c r="W8" s="74" t="s">
        <v>5</v>
      </c>
      <c r="X8" s="35" t="s">
        <v>9</v>
      </c>
      <c r="Y8" s="35" t="s">
        <v>28</v>
      </c>
      <c r="Z8" s="73" t="s">
        <v>4</v>
      </c>
      <c r="AA8" s="73" t="s">
        <v>4</v>
      </c>
      <c r="AB8" s="35" t="s">
        <v>9</v>
      </c>
      <c r="AC8" s="73" t="s">
        <v>4</v>
      </c>
      <c r="AD8" s="73" t="s">
        <v>4</v>
      </c>
      <c r="AE8" s="73" t="s">
        <v>4</v>
      </c>
      <c r="AF8" s="35" t="s">
        <v>28</v>
      </c>
      <c r="AG8" s="35" t="s">
        <v>28</v>
      </c>
      <c r="AH8" s="35" t="s">
        <v>9</v>
      </c>
      <c r="AI8" s="35" t="s">
        <v>9</v>
      </c>
      <c r="AJ8" s="74" t="s">
        <v>5</v>
      </c>
      <c r="AK8" s="74" t="s">
        <v>5</v>
      </c>
      <c r="AL8" s="35" t="s">
        <v>28</v>
      </c>
      <c r="AM8" s="75" t="s">
        <v>7</v>
      </c>
      <c r="AN8" s="75" t="s">
        <v>7</v>
      </c>
      <c r="AO8" s="75" t="s">
        <v>7</v>
      </c>
      <c r="AP8" s="75" t="s">
        <v>7</v>
      </c>
      <c r="AQ8" s="75" t="s">
        <v>7</v>
      </c>
      <c r="AR8" s="35" t="s">
        <v>9</v>
      </c>
      <c r="AS8" s="35" t="s">
        <v>28</v>
      </c>
      <c r="AT8" s="35" t="s">
        <v>28</v>
      </c>
      <c r="AU8" s="35" t="s">
        <v>9</v>
      </c>
      <c r="AV8" s="35" t="s">
        <v>9</v>
      </c>
      <c r="AW8" s="74" t="s">
        <v>5</v>
      </c>
      <c r="AX8" s="74" t="s">
        <v>5</v>
      </c>
      <c r="AY8" s="35" t="s">
        <v>28</v>
      </c>
      <c r="AZ8" s="35" t="s">
        <v>28</v>
      </c>
      <c r="BA8" s="76" t="s">
        <v>25</v>
      </c>
      <c r="BB8" s="76" t="s">
        <v>25</v>
      </c>
      <c r="BC8" s="35" t="s">
        <v>9</v>
      </c>
      <c r="BD8" s="35" t="s">
        <v>28</v>
      </c>
      <c r="BE8" s="35" t="s">
        <v>28</v>
      </c>
      <c r="BF8" s="73" t="s">
        <v>4</v>
      </c>
      <c r="BG8" s="73" t="s">
        <v>4</v>
      </c>
      <c r="BH8" s="73" t="s">
        <v>4</v>
      </c>
      <c r="BI8" s="35" t="s">
        <v>9</v>
      </c>
      <c r="BJ8" s="35" t="s">
        <v>28</v>
      </c>
      <c r="BK8" s="35" t="s">
        <v>9</v>
      </c>
      <c r="BL8" s="35" t="s">
        <v>28</v>
      </c>
      <c r="BM8" s="35" t="s">
        <v>9</v>
      </c>
      <c r="BN8" s="35" t="s">
        <v>9</v>
      </c>
      <c r="BO8" s="76" t="s">
        <v>25</v>
      </c>
      <c r="BP8" s="76" t="s">
        <v>25</v>
      </c>
      <c r="BQ8" s="35" t="s">
        <v>28</v>
      </c>
      <c r="BR8" s="35" t="s">
        <v>28</v>
      </c>
      <c r="BS8" s="75" t="s">
        <v>7</v>
      </c>
      <c r="BT8" s="35" t="s">
        <v>28</v>
      </c>
      <c r="BU8" s="35" t="s">
        <v>9</v>
      </c>
      <c r="BV8" s="35" t="s">
        <v>9</v>
      </c>
      <c r="BW8" s="35" t="s">
        <v>28</v>
      </c>
      <c r="BX8" s="35" t="s">
        <v>9</v>
      </c>
      <c r="BY8" s="35" t="s">
        <v>9</v>
      </c>
      <c r="BZ8" s="76" t="s">
        <v>25</v>
      </c>
      <c r="CA8" s="35" t="s">
        <v>9</v>
      </c>
      <c r="CB8" s="35" t="s">
        <v>28</v>
      </c>
      <c r="CC8" s="75" t="s">
        <v>7</v>
      </c>
      <c r="CD8" s="75" t="s">
        <v>7</v>
      </c>
      <c r="CE8" s="35" t="s">
        <v>28</v>
      </c>
      <c r="CF8" s="73" t="s">
        <v>4</v>
      </c>
      <c r="CG8" s="73" t="s">
        <v>4</v>
      </c>
      <c r="CH8" s="35" t="s">
        <v>28</v>
      </c>
      <c r="CI8" s="76" t="s">
        <v>25</v>
      </c>
      <c r="CJ8" s="76" t="s">
        <v>25</v>
      </c>
    </row>
    <row r="9" spans="2:88" x14ac:dyDescent="0.3">
      <c r="B9" s="12">
        <v>6</v>
      </c>
      <c r="C9" s="13">
        <v>100</v>
      </c>
      <c r="D9" s="14" t="s">
        <v>5</v>
      </c>
      <c r="E9" s="35" t="s">
        <v>9</v>
      </c>
      <c r="F9" s="75" t="s">
        <v>7</v>
      </c>
      <c r="G9" s="75" t="s">
        <v>7</v>
      </c>
      <c r="H9" s="35" t="s">
        <v>9</v>
      </c>
      <c r="I9" s="35" t="s">
        <v>9</v>
      </c>
      <c r="J9" s="73" t="s">
        <v>4</v>
      </c>
      <c r="K9" s="35" t="s">
        <v>28</v>
      </c>
      <c r="L9" s="35" t="s">
        <v>28</v>
      </c>
      <c r="M9" s="76" t="s">
        <v>25</v>
      </c>
      <c r="N9" s="76" t="s">
        <v>25</v>
      </c>
      <c r="O9" s="35" t="s">
        <v>9</v>
      </c>
      <c r="P9" s="35" t="s">
        <v>9</v>
      </c>
      <c r="Q9" s="35" t="s">
        <v>28</v>
      </c>
      <c r="R9" s="35" t="s">
        <v>28</v>
      </c>
      <c r="S9" s="76" t="s">
        <v>25</v>
      </c>
      <c r="T9" s="76" t="s">
        <v>25</v>
      </c>
      <c r="U9" s="35" t="s">
        <v>28</v>
      </c>
      <c r="V9" s="73" t="s">
        <v>4</v>
      </c>
      <c r="W9" s="35" t="s">
        <v>9</v>
      </c>
      <c r="X9" s="35" t="s">
        <v>28</v>
      </c>
      <c r="Y9" s="75" t="s">
        <v>7</v>
      </c>
      <c r="Z9" s="74" t="s">
        <v>5</v>
      </c>
      <c r="AA9" s="74" t="s">
        <v>5</v>
      </c>
      <c r="AB9" s="35" t="s">
        <v>9</v>
      </c>
      <c r="AC9" s="76" t="s">
        <v>25</v>
      </c>
      <c r="AD9" s="35" t="s">
        <v>9</v>
      </c>
      <c r="AE9" s="35" t="s">
        <v>28</v>
      </c>
      <c r="AF9" s="35" t="s">
        <v>28</v>
      </c>
      <c r="AG9" s="76" t="s">
        <v>25</v>
      </c>
      <c r="AH9" s="76" t="s">
        <v>25</v>
      </c>
      <c r="AI9" s="76" t="s">
        <v>25</v>
      </c>
      <c r="AJ9" s="35" t="s">
        <v>9</v>
      </c>
      <c r="AK9" s="35" t="s">
        <v>9</v>
      </c>
      <c r="AL9" s="35" t="s">
        <v>28</v>
      </c>
      <c r="AM9" s="35" t="s">
        <v>28</v>
      </c>
      <c r="AN9" s="35" t="s">
        <v>9</v>
      </c>
      <c r="AO9" s="35" t="s">
        <v>9</v>
      </c>
      <c r="AP9" s="73" t="s">
        <v>4</v>
      </c>
      <c r="AQ9" s="73" t="s">
        <v>4</v>
      </c>
      <c r="AR9" s="35" t="s">
        <v>28</v>
      </c>
      <c r="AS9" s="73" t="s">
        <v>4</v>
      </c>
      <c r="AT9" s="73" t="s">
        <v>4</v>
      </c>
      <c r="AU9" s="35" t="s">
        <v>28</v>
      </c>
      <c r="AV9" s="35" t="s">
        <v>28</v>
      </c>
      <c r="AW9" s="35" t="s">
        <v>9</v>
      </c>
      <c r="AX9" s="75" t="s">
        <v>7</v>
      </c>
      <c r="AY9" s="76" t="s">
        <v>25</v>
      </c>
      <c r="AZ9" s="76" t="s">
        <v>25</v>
      </c>
      <c r="BA9" s="35" t="s">
        <v>28</v>
      </c>
      <c r="BB9" s="35" t="s">
        <v>9</v>
      </c>
      <c r="BC9" s="35" t="s">
        <v>28</v>
      </c>
      <c r="BD9" s="35" t="s">
        <v>9</v>
      </c>
      <c r="BE9" s="73" t="s">
        <v>4</v>
      </c>
      <c r="BF9" s="35" t="s">
        <v>28</v>
      </c>
      <c r="BG9" s="35" t="s">
        <v>9</v>
      </c>
      <c r="BH9" s="35" t="s">
        <v>28</v>
      </c>
      <c r="BI9" s="76" t="s">
        <v>25</v>
      </c>
      <c r="BJ9" s="76" t="s">
        <v>25</v>
      </c>
      <c r="BK9" s="76" t="s">
        <v>25</v>
      </c>
      <c r="BL9" s="35" t="s">
        <v>28</v>
      </c>
      <c r="BM9" s="73" t="s">
        <v>4</v>
      </c>
      <c r="BN9" s="73" t="s">
        <v>4</v>
      </c>
      <c r="BO9" s="35" t="s">
        <v>28</v>
      </c>
      <c r="BP9" s="76" t="s">
        <v>25</v>
      </c>
      <c r="BQ9" s="76" t="s">
        <v>25</v>
      </c>
      <c r="BR9" s="76" t="s">
        <v>25</v>
      </c>
      <c r="BS9" s="35" t="s">
        <v>28</v>
      </c>
      <c r="BT9" s="75" t="s">
        <v>7</v>
      </c>
      <c r="BU9" s="75" t="s">
        <v>7</v>
      </c>
      <c r="BV9" s="35" t="s">
        <v>28</v>
      </c>
      <c r="BW9" s="74" t="s">
        <v>5</v>
      </c>
      <c r="BX9" s="35" t="s">
        <v>9</v>
      </c>
      <c r="BY9" s="35" t="s">
        <v>9</v>
      </c>
      <c r="BZ9" s="35" t="s">
        <v>28</v>
      </c>
      <c r="CA9" s="73" t="s">
        <v>4</v>
      </c>
      <c r="CB9" s="73" t="s">
        <v>4</v>
      </c>
      <c r="CC9" s="73" t="s">
        <v>4</v>
      </c>
      <c r="CD9" s="35" t="s">
        <v>28</v>
      </c>
      <c r="CE9" s="75" t="s">
        <v>7</v>
      </c>
      <c r="CF9" s="35" t="s">
        <v>28</v>
      </c>
      <c r="CG9" s="76" t="s">
        <v>25</v>
      </c>
      <c r="CH9" s="35" t="s">
        <v>9</v>
      </c>
      <c r="CI9" s="75" t="s">
        <v>7</v>
      </c>
      <c r="CJ9" s="75" t="s">
        <v>7</v>
      </c>
    </row>
    <row r="10" spans="2:88" x14ac:dyDescent="0.3">
      <c r="B10" s="12">
        <v>7</v>
      </c>
      <c r="C10" s="13">
        <v>100</v>
      </c>
      <c r="D10" s="14" t="s">
        <v>5</v>
      </c>
      <c r="E10" s="76" t="s">
        <v>25</v>
      </c>
      <c r="F10" s="76" t="s">
        <v>25</v>
      </c>
      <c r="G10" s="35" t="s">
        <v>9</v>
      </c>
      <c r="H10" s="73" t="s">
        <v>4</v>
      </c>
      <c r="I10" s="73" t="s">
        <v>4</v>
      </c>
      <c r="J10" s="35" t="s">
        <v>28</v>
      </c>
      <c r="K10" s="35" t="s">
        <v>28</v>
      </c>
      <c r="L10" s="74" t="s">
        <v>5</v>
      </c>
      <c r="M10" s="74" t="s">
        <v>5</v>
      </c>
      <c r="N10" s="73" t="s">
        <v>4</v>
      </c>
      <c r="O10" s="73" t="s">
        <v>4</v>
      </c>
      <c r="P10" s="35" t="s">
        <v>28</v>
      </c>
      <c r="Q10" s="76" t="s">
        <v>25</v>
      </c>
      <c r="R10" s="35" t="s">
        <v>28</v>
      </c>
      <c r="S10" s="74" t="s">
        <v>5</v>
      </c>
      <c r="T10" s="74" t="s">
        <v>5</v>
      </c>
      <c r="U10" s="73" t="s">
        <v>4</v>
      </c>
      <c r="V10" s="35" t="s">
        <v>28</v>
      </c>
      <c r="W10" s="73" t="s">
        <v>4</v>
      </c>
      <c r="X10" s="35" t="s">
        <v>28</v>
      </c>
      <c r="Y10" s="76" t="s">
        <v>25</v>
      </c>
      <c r="Z10" s="35" t="s">
        <v>9</v>
      </c>
      <c r="AA10" s="35" t="s">
        <v>9</v>
      </c>
      <c r="AB10" s="35" t="s">
        <v>9</v>
      </c>
      <c r="AC10" s="35" t="s">
        <v>28</v>
      </c>
      <c r="AD10" s="35" t="s">
        <v>9</v>
      </c>
      <c r="AE10" s="35" t="s">
        <v>9</v>
      </c>
      <c r="AF10" s="73" t="s">
        <v>4</v>
      </c>
      <c r="AG10" s="35" t="s">
        <v>28</v>
      </c>
      <c r="AH10" s="75" t="s">
        <v>7</v>
      </c>
      <c r="AI10" s="75" t="s">
        <v>7</v>
      </c>
      <c r="AJ10" s="75" t="s">
        <v>7</v>
      </c>
      <c r="AK10" s="35" t="s">
        <v>9</v>
      </c>
      <c r="AL10" s="76" t="s">
        <v>25</v>
      </c>
      <c r="AM10" s="35" t="s">
        <v>28</v>
      </c>
      <c r="AN10" s="73" t="s">
        <v>4</v>
      </c>
      <c r="AO10" s="35" t="s">
        <v>28</v>
      </c>
      <c r="AP10" s="35" t="s">
        <v>9</v>
      </c>
      <c r="AQ10" s="76" t="s">
        <v>25</v>
      </c>
      <c r="AR10" s="76" t="s">
        <v>25</v>
      </c>
      <c r="AS10" s="35" t="s">
        <v>28</v>
      </c>
      <c r="AT10" s="35" t="s">
        <v>28</v>
      </c>
      <c r="AU10" s="75" t="s">
        <v>7</v>
      </c>
      <c r="AV10" s="75" t="s">
        <v>7</v>
      </c>
      <c r="AW10" s="75" t="s">
        <v>7</v>
      </c>
      <c r="AX10" s="35" t="s">
        <v>9</v>
      </c>
      <c r="AY10" s="35" t="s">
        <v>9</v>
      </c>
      <c r="AZ10" s="35" t="s">
        <v>28</v>
      </c>
      <c r="BA10" s="35" t="s">
        <v>28</v>
      </c>
      <c r="BB10" s="76" t="s">
        <v>25</v>
      </c>
      <c r="BC10" s="76" t="s">
        <v>25</v>
      </c>
      <c r="BD10" s="35" t="s">
        <v>9</v>
      </c>
      <c r="BE10" s="74" t="s">
        <v>5</v>
      </c>
      <c r="BF10" s="74" t="s">
        <v>5</v>
      </c>
      <c r="BG10" s="35" t="s">
        <v>28</v>
      </c>
      <c r="BH10" s="35" t="s">
        <v>28</v>
      </c>
      <c r="BI10" s="74" t="s">
        <v>5</v>
      </c>
      <c r="BJ10" s="73" t="s">
        <v>4</v>
      </c>
      <c r="BK10" s="73" t="s">
        <v>4</v>
      </c>
      <c r="BL10" s="35" t="s">
        <v>9</v>
      </c>
      <c r="BM10" s="35" t="s">
        <v>9</v>
      </c>
      <c r="BN10" s="35" t="s">
        <v>28</v>
      </c>
      <c r="BO10" s="35" t="s">
        <v>28</v>
      </c>
      <c r="BP10" s="35" t="s">
        <v>9</v>
      </c>
      <c r="BQ10" s="76" t="s">
        <v>25</v>
      </c>
      <c r="BR10" s="76" t="s">
        <v>25</v>
      </c>
      <c r="BS10" s="76" t="s">
        <v>25</v>
      </c>
      <c r="BT10" s="35" t="s">
        <v>9</v>
      </c>
      <c r="BU10" s="35" t="s">
        <v>28</v>
      </c>
      <c r="BV10" s="35" t="s">
        <v>28</v>
      </c>
      <c r="BW10" s="35" t="s">
        <v>9</v>
      </c>
      <c r="BX10" s="75" t="s">
        <v>7</v>
      </c>
      <c r="BY10" s="75" t="s">
        <v>7</v>
      </c>
      <c r="BZ10" s="75" t="s">
        <v>7</v>
      </c>
      <c r="CA10" s="35" t="s">
        <v>9</v>
      </c>
      <c r="CB10" s="35" t="s">
        <v>28</v>
      </c>
      <c r="CC10" s="35" t="s">
        <v>28</v>
      </c>
      <c r="CD10" s="76" t="s">
        <v>25</v>
      </c>
      <c r="CE10" s="76" t="s">
        <v>25</v>
      </c>
      <c r="CF10" s="35" t="s">
        <v>9</v>
      </c>
      <c r="CG10" s="74" t="s">
        <v>5</v>
      </c>
      <c r="CH10" s="74" t="s">
        <v>5</v>
      </c>
      <c r="CI10" s="35" t="s">
        <v>28</v>
      </c>
      <c r="CJ10" s="35" t="s">
        <v>28</v>
      </c>
    </row>
    <row r="11" spans="2:88" x14ac:dyDescent="0.3">
      <c r="B11" s="12">
        <v>8</v>
      </c>
      <c r="C11" s="13">
        <v>100</v>
      </c>
      <c r="D11" s="14" t="s">
        <v>5</v>
      </c>
      <c r="E11" s="35" t="s">
        <v>9</v>
      </c>
      <c r="F11" s="76" t="s">
        <v>25</v>
      </c>
      <c r="G11" s="76" t="s">
        <v>25</v>
      </c>
      <c r="H11" s="76" t="s">
        <v>25</v>
      </c>
      <c r="I11" s="35" t="s">
        <v>9</v>
      </c>
      <c r="J11" s="35" t="s">
        <v>28</v>
      </c>
      <c r="K11" s="35" t="s">
        <v>28</v>
      </c>
      <c r="L11" s="73" t="s">
        <v>4</v>
      </c>
      <c r="M11" s="73" t="s">
        <v>4</v>
      </c>
      <c r="N11" s="75" t="s">
        <v>7</v>
      </c>
      <c r="O11" s="35" t="s">
        <v>9</v>
      </c>
      <c r="P11" s="35" t="s">
        <v>9</v>
      </c>
      <c r="Q11" s="35" t="s">
        <v>28</v>
      </c>
      <c r="R11" s="35" t="s">
        <v>28</v>
      </c>
      <c r="S11" s="73" t="s">
        <v>4</v>
      </c>
      <c r="T11" s="76" t="s">
        <v>25</v>
      </c>
      <c r="U11" s="76" t="s">
        <v>25</v>
      </c>
      <c r="V11" s="35" t="s">
        <v>9</v>
      </c>
      <c r="W11" s="35" t="s">
        <v>9</v>
      </c>
      <c r="X11" s="35" t="s">
        <v>28</v>
      </c>
      <c r="Y11" s="35" t="s">
        <v>28</v>
      </c>
      <c r="Z11" s="76" t="s">
        <v>25</v>
      </c>
      <c r="AA11" s="35" t="s">
        <v>9</v>
      </c>
      <c r="AB11" s="73" t="s">
        <v>4</v>
      </c>
      <c r="AC11" s="73" t="s">
        <v>4</v>
      </c>
      <c r="AD11" s="35" t="s">
        <v>9</v>
      </c>
      <c r="AE11" s="35" t="s">
        <v>28</v>
      </c>
      <c r="AF11" s="35" t="s">
        <v>28</v>
      </c>
      <c r="AG11" s="35" t="s">
        <v>9</v>
      </c>
      <c r="AH11" s="73" t="s">
        <v>4</v>
      </c>
      <c r="AI11" s="73" t="s">
        <v>4</v>
      </c>
      <c r="AJ11" s="73" t="s">
        <v>4</v>
      </c>
      <c r="AK11" s="73" t="s">
        <v>4</v>
      </c>
      <c r="AL11" s="35" t="s">
        <v>9</v>
      </c>
      <c r="AM11" s="35" t="s">
        <v>28</v>
      </c>
      <c r="AN11" s="35" t="s">
        <v>28</v>
      </c>
      <c r="AO11" s="76" t="s">
        <v>25</v>
      </c>
      <c r="AP11" s="76" t="s">
        <v>25</v>
      </c>
      <c r="AQ11" s="76" t="s">
        <v>25</v>
      </c>
      <c r="AR11" s="35" t="s">
        <v>9</v>
      </c>
      <c r="AS11" s="35" t="s">
        <v>28</v>
      </c>
      <c r="AT11" s="35" t="s">
        <v>28</v>
      </c>
      <c r="AU11" s="76" t="s">
        <v>25</v>
      </c>
      <c r="AV11" s="76" t="s">
        <v>25</v>
      </c>
      <c r="AW11" s="76" t="s">
        <v>25</v>
      </c>
      <c r="AX11" s="35" t="s">
        <v>28</v>
      </c>
      <c r="AY11" s="73" t="s">
        <v>4</v>
      </c>
      <c r="AZ11" s="73" t="s">
        <v>4</v>
      </c>
      <c r="BA11" s="35" t="s">
        <v>28</v>
      </c>
      <c r="BB11" s="35" t="s">
        <v>28</v>
      </c>
      <c r="BC11" s="35" t="s">
        <v>9</v>
      </c>
      <c r="BD11" s="73" t="s">
        <v>4</v>
      </c>
      <c r="BE11" s="35" t="s">
        <v>9</v>
      </c>
      <c r="BF11" s="35" t="s">
        <v>28</v>
      </c>
      <c r="BG11" s="35" t="s">
        <v>28</v>
      </c>
      <c r="BH11" s="76" t="s">
        <v>25</v>
      </c>
      <c r="BI11" s="35" t="s">
        <v>9</v>
      </c>
      <c r="BJ11" s="35" t="s">
        <v>28</v>
      </c>
      <c r="BK11" s="35" t="s">
        <v>9</v>
      </c>
      <c r="BL11" s="75" t="s">
        <v>7</v>
      </c>
      <c r="BM11" s="35" t="s">
        <v>9</v>
      </c>
      <c r="BN11" s="35" t="s">
        <v>9</v>
      </c>
      <c r="BO11" s="35" t="s">
        <v>28</v>
      </c>
      <c r="BP11" s="35" t="s">
        <v>28</v>
      </c>
      <c r="BQ11" s="75" t="s">
        <v>7</v>
      </c>
      <c r="BR11" s="75" t="s">
        <v>7</v>
      </c>
      <c r="BS11" s="74" t="s">
        <v>5</v>
      </c>
      <c r="BT11" s="74" t="s">
        <v>5</v>
      </c>
      <c r="BU11" s="35" t="s">
        <v>9</v>
      </c>
      <c r="BV11" s="35" t="s">
        <v>28</v>
      </c>
      <c r="BW11" s="35" t="s">
        <v>28</v>
      </c>
      <c r="BX11" s="35" t="s">
        <v>9</v>
      </c>
      <c r="BY11" s="74" t="s">
        <v>5</v>
      </c>
      <c r="BZ11" s="74" t="s">
        <v>5</v>
      </c>
      <c r="CA11" s="74" t="s">
        <v>5</v>
      </c>
      <c r="CB11" s="35" t="s">
        <v>9</v>
      </c>
      <c r="CC11" s="35" t="s">
        <v>28</v>
      </c>
      <c r="CD11" s="35" t="s">
        <v>28</v>
      </c>
      <c r="CE11" s="35" t="s">
        <v>9</v>
      </c>
      <c r="CF11" s="73" t="s">
        <v>4</v>
      </c>
      <c r="CG11" s="73" t="s">
        <v>4</v>
      </c>
      <c r="CH11" s="73" t="s">
        <v>4</v>
      </c>
      <c r="CI11" s="73" t="s">
        <v>4</v>
      </c>
      <c r="CJ11" s="35" t="s">
        <v>9</v>
      </c>
    </row>
    <row r="12" spans="2:88" x14ac:dyDescent="0.3">
      <c r="B12" s="12">
        <v>9</v>
      </c>
      <c r="C12" s="13">
        <v>80</v>
      </c>
      <c r="D12" s="14" t="s">
        <v>5</v>
      </c>
      <c r="E12" s="35" t="s">
        <v>28</v>
      </c>
      <c r="F12" s="35" t="s">
        <v>28</v>
      </c>
      <c r="G12" s="76" t="s">
        <v>25</v>
      </c>
      <c r="H12" s="76" t="s">
        <v>25</v>
      </c>
      <c r="I12" s="76" t="s">
        <v>25</v>
      </c>
      <c r="J12" s="35" t="s">
        <v>9</v>
      </c>
      <c r="K12" s="35" t="s">
        <v>28</v>
      </c>
      <c r="L12" s="35" t="s">
        <v>28</v>
      </c>
      <c r="M12" s="35" t="s">
        <v>28</v>
      </c>
      <c r="N12" s="35" t="s">
        <v>9</v>
      </c>
      <c r="O12" s="35" t="s">
        <v>28</v>
      </c>
      <c r="P12" s="75" t="s">
        <v>7</v>
      </c>
      <c r="Q12" s="75" t="s">
        <v>7</v>
      </c>
      <c r="R12" s="76" t="s">
        <v>25</v>
      </c>
      <c r="S12" s="76" t="s">
        <v>25</v>
      </c>
      <c r="T12" s="35" t="s">
        <v>28</v>
      </c>
      <c r="U12" s="35" t="s">
        <v>28</v>
      </c>
      <c r="V12" s="75" t="s">
        <v>7</v>
      </c>
      <c r="W12" s="75" t="s">
        <v>7</v>
      </c>
      <c r="X12" s="75" t="s">
        <v>7</v>
      </c>
      <c r="Y12" s="35" t="s">
        <v>9</v>
      </c>
      <c r="Z12" s="35" t="s">
        <v>28</v>
      </c>
      <c r="AA12" s="76" t="s">
        <v>25</v>
      </c>
      <c r="AB12" s="35" t="s">
        <v>9</v>
      </c>
      <c r="AC12" s="35" t="s">
        <v>28</v>
      </c>
      <c r="AD12" s="73" t="s">
        <v>4</v>
      </c>
      <c r="AE12" s="73" t="s">
        <v>4</v>
      </c>
      <c r="AF12" s="73" t="s">
        <v>4</v>
      </c>
      <c r="AG12" s="35" t="s">
        <v>28</v>
      </c>
      <c r="AH12" s="35" t="s">
        <v>28</v>
      </c>
      <c r="AI12" s="35" t="s">
        <v>28</v>
      </c>
      <c r="AJ12" s="35" t="s">
        <v>28</v>
      </c>
      <c r="AK12" s="76" t="s">
        <v>25</v>
      </c>
      <c r="AL12" s="76" t="s">
        <v>25</v>
      </c>
      <c r="AM12" s="35" t="s">
        <v>28</v>
      </c>
      <c r="AN12" s="35" t="s">
        <v>9</v>
      </c>
      <c r="AO12" s="73" t="s">
        <v>4</v>
      </c>
      <c r="AP12" s="73" t="s">
        <v>4</v>
      </c>
      <c r="AQ12" s="35" t="s">
        <v>28</v>
      </c>
      <c r="AR12" s="35" t="s">
        <v>28</v>
      </c>
      <c r="AS12" s="35" t="s">
        <v>28</v>
      </c>
      <c r="AT12" s="73" t="s">
        <v>4</v>
      </c>
      <c r="AU12" s="73" t="s">
        <v>4</v>
      </c>
      <c r="AV12" s="73" t="s">
        <v>4</v>
      </c>
      <c r="AW12" s="35" t="s">
        <v>9</v>
      </c>
      <c r="AX12" s="35" t="s">
        <v>28</v>
      </c>
      <c r="AY12" s="35" t="s">
        <v>28</v>
      </c>
      <c r="AZ12" s="35" t="s">
        <v>28</v>
      </c>
      <c r="BA12" s="35" t="s">
        <v>28</v>
      </c>
      <c r="BB12" s="35" t="s">
        <v>9</v>
      </c>
      <c r="BC12" s="73" t="s">
        <v>4</v>
      </c>
      <c r="BD12" s="73" t="s">
        <v>4</v>
      </c>
      <c r="BE12" s="35" t="s">
        <v>9</v>
      </c>
      <c r="BF12" s="35" t="s">
        <v>28</v>
      </c>
      <c r="BG12" s="35" t="s">
        <v>28</v>
      </c>
      <c r="BH12" s="76" t="s">
        <v>25</v>
      </c>
      <c r="BI12" s="76" t="s">
        <v>25</v>
      </c>
      <c r="BJ12" s="76" t="s">
        <v>25</v>
      </c>
      <c r="BK12" s="76" t="s">
        <v>25</v>
      </c>
      <c r="BL12" s="35" t="s">
        <v>9</v>
      </c>
      <c r="BM12" s="35" t="s">
        <v>28</v>
      </c>
      <c r="BN12" s="35" t="s">
        <v>28</v>
      </c>
      <c r="BO12" s="75" t="s">
        <v>7</v>
      </c>
      <c r="BP12" s="75" t="s">
        <v>7</v>
      </c>
      <c r="BQ12" s="35" t="s">
        <v>9</v>
      </c>
      <c r="BR12" s="35" t="s">
        <v>28</v>
      </c>
      <c r="BS12" s="35" t="s">
        <v>28</v>
      </c>
      <c r="BT12" s="35" t="s">
        <v>28</v>
      </c>
      <c r="BU12" s="73" t="s">
        <v>4</v>
      </c>
      <c r="BV12" s="73" t="s">
        <v>4</v>
      </c>
      <c r="BW12" s="73" t="s">
        <v>4</v>
      </c>
      <c r="BX12" s="35" t="s">
        <v>28</v>
      </c>
      <c r="BY12" s="76" t="s">
        <v>25</v>
      </c>
      <c r="BZ12" s="35" t="s">
        <v>9</v>
      </c>
      <c r="CA12" s="75" t="s">
        <v>7</v>
      </c>
      <c r="CB12" s="75" t="s">
        <v>7</v>
      </c>
      <c r="CC12" s="35" t="s">
        <v>28</v>
      </c>
      <c r="CD12" s="35" t="s">
        <v>28</v>
      </c>
      <c r="CE12" s="74" t="s">
        <v>5</v>
      </c>
      <c r="CF12" s="74" t="s">
        <v>5</v>
      </c>
      <c r="CG12" s="35" t="s">
        <v>28</v>
      </c>
      <c r="CH12" s="35" t="s">
        <v>28</v>
      </c>
      <c r="CI12" s="35" t="s">
        <v>28</v>
      </c>
      <c r="CJ12" s="35" t="s">
        <v>28</v>
      </c>
    </row>
    <row r="13" spans="2:88" x14ac:dyDescent="0.3">
      <c r="B13" s="12">
        <v>10</v>
      </c>
      <c r="C13" s="15">
        <v>75</v>
      </c>
      <c r="D13" s="16" t="s">
        <v>5</v>
      </c>
      <c r="E13" s="35" t="s">
        <v>9</v>
      </c>
      <c r="F13" s="35" t="s">
        <v>28</v>
      </c>
      <c r="G13" s="35" t="s">
        <v>28</v>
      </c>
      <c r="H13" s="35" t="s">
        <v>28</v>
      </c>
      <c r="I13" s="35" t="s">
        <v>28</v>
      </c>
      <c r="J13" s="76" t="s">
        <v>25</v>
      </c>
      <c r="K13" s="76" t="s">
        <v>25</v>
      </c>
      <c r="L13" s="76" t="s">
        <v>25</v>
      </c>
      <c r="M13" s="35" t="s">
        <v>28</v>
      </c>
      <c r="N13" s="35" t="s">
        <v>28</v>
      </c>
      <c r="O13" s="73" t="s">
        <v>4</v>
      </c>
      <c r="P13" s="73" t="s">
        <v>4</v>
      </c>
      <c r="Q13" s="73" t="s">
        <v>4</v>
      </c>
      <c r="R13" s="73" t="s">
        <v>4</v>
      </c>
      <c r="S13" s="35" t="s">
        <v>28</v>
      </c>
      <c r="T13" s="75" t="s">
        <v>7</v>
      </c>
      <c r="U13" s="75" t="s">
        <v>7</v>
      </c>
      <c r="V13" s="35" t="s">
        <v>28</v>
      </c>
      <c r="W13" s="35" t="s">
        <v>28</v>
      </c>
      <c r="X13" s="35" t="s">
        <v>28</v>
      </c>
      <c r="Y13" s="73" t="s">
        <v>4</v>
      </c>
      <c r="Z13" s="75" t="s">
        <v>7</v>
      </c>
      <c r="AA13" s="75" t="s">
        <v>7</v>
      </c>
      <c r="AB13" s="76" t="s">
        <v>25</v>
      </c>
      <c r="AC13" s="76" t="s">
        <v>25</v>
      </c>
      <c r="AD13" s="35" t="s">
        <v>28</v>
      </c>
      <c r="AE13" s="35" t="s">
        <v>28</v>
      </c>
      <c r="AF13" s="75" t="s">
        <v>7</v>
      </c>
      <c r="AG13" s="75" t="s">
        <v>7</v>
      </c>
      <c r="AH13" s="74" t="s">
        <v>5</v>
      </c>
      <c r="AI13" s="74" t="s">
        <v>5</v>
      </c>
      <c r="AJ13" s="35" t="s">
        <v>28</v>
      </c>
      <c r="AK13" s="35" t="s">
        <v>28</v>
      </c>
      <c r="AL13" s="35" t="s">
        <v>9</v>
      </c>
      <c r="AM13" s="35" t="s">
        <v>9</v>
      </c>
      <c r="AN13" s="35" t="s">
        <v>28</v>
      </c>
      <c r="AO13" s="35" t="s">
        <v>28</v>
      </c>
      <c r="AP13" s="35" t="s">
        <v>28</v>
      </c>
      <c r="AQ13" s="73" t="s">
        <v>4</v>
      </c>
      <c r="AR13" s="73" t="s">
        <v>4</v>
      </c>
      <c r="AS13" s="35" t="s">
        <v>28</v>
      </c>
      <c r="AT13" s="35" t="s">
        <v>9</v>
      </c>
      <c r="AU13" s="35" t="s">
        <v>9</v>
      </c>
      <c r="AV13" s="35" t="s">
        <v>28</v>
      </c>
      <c r="AW13" s="76" t="s">
        <v>25</v>
      </c>
      <c r="AX13" s="76" t="s">
        <v>25</v>
      </c>
      <c r="AY13" s="35" t="s">
        <v>28</v>
      </c>
      <c r="AZ13" s="35" t="s">
        <v>28</v>
      </c>
      <c r="BA13" s="35" t="s">
        <v>9</v>
      </c>
      <c r="BB13" s="75" t="s">
        <v>7</v>
      </c>
      <c r="BC13" s="35" t="s">
        <v>9</v>
      </c>
      <c r="BD13" s="35" t="s">
        <v>9</v>
      </c>
      <c r="BE13" s="35" t="s">
        <v>28</v>
      </c>
      <c r="BF13" s="35" t="s">
        <v>28</v>
      </c>
      <c r="BG13" s="76" t="s">
        <v>25</v>
      </c>
      <c r="BH13" s="35" t="s">
        <v>9</v>
      </c>
      <c r="BI13" s="35" t="s">
        <v>28</v>
      </c>
      <c r="BJ13" s="35" t="s">
        <v>28</v>
      </c>
      <c r="BK13" s="35" t="s">
        <v>28</v>
      </c>
      <c r="BL13" s="35" t="s">
        <v>28</v>
      </c>
      <c r="BM13" s="35" t="s">
        <v>28</v>
      </c>
      <c r="BN13" s="35" t="s">
        <v>28</v>
      </c>
      <c r="BO13" s="35" t="s">
        <v>9</v>
      </c>
      <c r="BP13" s="74" t="s">
        <v>5</v>
      </c>
      <c r="BQ13" s="74" t="s">
        <v>5</v>
      </c>
      <c r="BR13" s="74" t="s">
        <v>5</v>
      </c>
      <c r="BS13" s="35" t="s">
        <v>28</v>
      </c>
      <c r="BT13" s="35" t="s">
        <v>28</v>
      </c>
      <c r="BU13" s="35" t="s">
        <v>9</v>
      </c>
      <c r="BV13" s="35" t="s">
        <v>9</v>
      </c>
      <c r="BW13" s="73" t="s">
        <v>4</v>
      </c>
      <c r="BX13" s="73" t="s">
        <v>4</v>
      </c>
      <c r="BY13" s="73" t="s">
        <v>4</v>
      </c>
      <c r="BZ13" s="35" t="s">
        <v>28</v>
      </c>
      <c r="CA13" s="35" t="s">
        <v>28</v>
      </c>
      <c r="CB13" s="35" t="s">
        <v>9</v>
      </c>
      <c r="CC13" s="35" t="s">
        <v>9</v>
      </c>
      <c r="CD13" s="35" t="s">
        <v>28</v>
      </c>
      <c r="CE13" s="35" t="s">
        <v>28</v>
      </c>
      <c r="CF13" s="35" t="s">
        <v>28</v>
      </c>
      <c r="CG13" s="35" t="s">
        <v>28</v>
      </c>
      <c r="CH13" s="35" t="s">
        <v>28</v>
      </c>
      <c r="CI13" s="35" t="s">
        <v>28</v>
      </c>
      <c r="CJ13" s="35" t="s">
        <v>9</v>
      </c>
    </row>
    <row r="14" spans="2:88" x14ac:dyDescent="0.3">
      <c r="B14" s="12">
        <v>11</v>
      </c>
      <c r="C14" s="15">
        <v>75</v>
      </c>
      <c r="D14" s="16" t="s">
        <v>5</v>
      </c>
      <c r="E14" s="35" t="s">
        <v>28</v>
      </c>
      <c r="F14" s="35" t="s">
        <v>28</v>
      </c>
      <c r="G14" s="35" t="s">
        <v>28</v>
      </c>
      <c r="H14" s="35" t="s">
        <v>28</v>
      </c>
      <c r="I14" s="35" t="s">
        <v>28</v>
      </c>
      <c r="J14" s="35" t="s">
        <v>9</v>
      </c>
      <c r="K14" s="76" t="s">
        <v>25</v>
      </c>
      <c r="L14" s="35" t="s">
        <v>28</v>
      </c>
      <c r="M14" s="35" t="s">
        <v>28</v>
      </c>
      <c r="N14" s="35" t="s">
        <v>28</v>
      </c>
      <c r="O14" s="76" t="s">
        <v>25</v>
      </c>
      <c r="P14" s="76" t="s">
        <v>25</v>
      </c>
      <c r="Q14" s="76" t="s">
        <v>25</v>
      </c>
      <c r="R14" s="35" t="s">
        <v>9</v>
      </c>
      <c r="S14" s="35" t="s">
        <v>28</v>
      </c>
      <c r="T14" s="35" t="s">
        <v>28</v>
      </c>
      <c r="U14" s="35" t="s">
        <v>28</v>
      </c>
      <c r="V14" s="76" t="s">
        <v>25</v>
      </c>
      <c r="W14" s="76" t="s">
        <v>25</v>
      </c>
      <c r="X14" s="76" t="s">
        <v>25</v>
      </c>
      <c r="Y14" s="35" t="s">
        <v>9</v>
      </c>
      <c r="Z14" s="35" t="s">
        <v>28</v>
      </c>
      <c r="AA14" s="35" t="s">
        <v>28</v>
      </c>
      <c r="AB14" s="74" t="s">
        <v>5</v>
      </c>
      <c r="AC14" s="74" t="s">
        <v>5</v>
      </c>
      <c r="AD14" s="74" t="s">
        <v>5</v>
      </c>
      <c r="AE14" s="35" t="s">
        <v>28</v>
      </c>
      <c r="AF14" s="35" t="s">
        <v>9</v>
      </c>
      <c r="AG14" s="73" t="s">
        <v>4</v>
      </c>
      <c r="AH14" s="35" t="s">
        <v>9</v>
      </c>
      <c r="AI14" s="35" t="s">
        <v>28</v>
      </c>
      <c r="AJ14" s="35" t="s">
        <v>28</v>
      </c>
      <c r="AK14" s="73" t="s">
        <v>4</v>
      </c>
      <c r="AL14" s="73" t="s">
        <v>4</v>
      </c>
      <c r="AM14" s="73" t="s">
        <v>4</v>
      </c>
      <c r="AN14" s="35" t="s">
        <v>9</v>
      </c>
      <c r="AO14" s="35" t="s">
        <v>28</v>
      </c>
      <c r="AP14" s="35" t="s">
        <v>28</v>
      </c>
      <c r="AQ14" s="35" t="s">
        <v>28</v>
      </c>
      <c r="AR14" s="76" t="s">
        <v>25</v>
      </c>
      <c r="AS14" s="76" t="s">
        <v>25</v>
      </c>
      <c r="AT14" s="35" t="s">
        <v>9</v>
      </c>
      <c r="AU14" s="35" t="s">
        <v>28</v>
      </c>
      <c r="AV14" s="35" t="s">
        <v>28</v>
      </c>
      <c r="AW14" s="35" t="s">
        <v>28</v>
      </c>
      <c r="AX14" s="35" t="s">
        <v>9</v>
      </c>
      <c r="AY14" s="75" t="s">
        <v>7</v>
      </c>
      <c r="AZ14" s="75" t="s">
        <v>7</v>
      </c>
      <c r="BA14" s="75" t="s">
        <v>7</v>
      </c>
      <c r="BB14" s="35" t="s">
        <v>28</v>
      </c>
      <c r="BC14" s="35" t="s">
        <v>28</v>
      </c>
      <c r="BD14" s="35" t="s">
        <v>28</v>
      </c>
      <c r="BE14" s="35" t="s">
        <v>28</v>
      </c>
      <c r="BF14" s="35" t="s">
        <v>28</v>
      </c>
      <c r="BG14" s="35" t="s">
        <v>28</v>
      </c>
      <c r="BH14" s="35" t="s">
        <v>9</v>
      </c>
      <c r="BI14" s="73" t="s">
        <v>4</v>
      </c>
      <c r="BJ14" s="73" t="s">
        <v>4</v>
      </c>
      <c r="BK14" s="73" t="s">
        <v>4</v>
      </c>
      <c r="BL14" s="73" t="s">
        <v>4</v>
      </c>
      <c r="BM14" s="35" t="s">
        <v>28</v>
      </c>
      <c r="BN14" s="73" t="s">
        <v>4</v>
      </c>
      <c r="BO14" s="73" t="s">
        <v>4</v>
      </c>
      <c r="BP14" s="35" t="s">
        <v>28</v>
      </c>
      <c r="BQ14" s="35" t="s">
        <v>28</v>
      </c>
      <c r="BR14" s="35" t="s">
        <v>28</v>
      </c>
      <c r="BS14" s="76" t="s">
        <v>25</v>
      </c>
      <c r="BT14" s="76" t="s">
        <v>25</v>
      </c>
      <c r="BU14" s="76" t="s">
        <v>25</v>
      </c>
      <c r="BV14" s="35" t="s">
        <v>9</v>
      </c>
      <c r="BW14" s="35" t="s">
        <v>9</v>
      </c>
      <c r="BX14" s="35" t="s">
        <v>28</v>
      </c>
      <c r="BY14" s="35" t="s">
        <v>28</v>
      </c>
      <c r="BZ14" s="35" t="s">
        <v>28</v>
      </c>
      <c r="CA14" s="35" t="s">
        <v>28</v>
      </c>
      <c r="CB14" s="35" t="s">
        <v>28</v>
      </c>
      <c r="CC14" s="35" t="s">
        <v>9</v>
      </c>
      <c r="CD14" s="35" t="s">
        <v>9</v>
      </c>
      <c r="CE14" s="73" t="s">
        <v>4</v>
      </c>
      <c r="CF14" s="76" t="s">
        <v>25</v>
      </c>
      <c r="CG14" s="76" t="s">
        <v>25</v>
      </c>
      <c r="CH14" s="35" t="s">
        <v>28</v>
      </c>
      <c r="CI14" s="35" t="s">
        <v>28</v>
      </c>
      <c r="CJ14" s="35" t="s">
        <v>9</v>
      </c>
    </row>
    <row r="15" spans="2:88" x14ac:dyDescent="0.3">
      <c r="B15" s="12">
        <v>12</v>
      </c>
      <c r="C15" s="15">
        <v>75</v>
      </c>
      <c r="D15" s="16" t="s">
        <v>5</v>
      </c>
      <c r="E15" s="35" t="s">
        <v>28</v>
      </c>
      <c r="F15" s="35" t="s">
        <v>28</v>
      </c>
      <c r="G15" s="35" t="s">
        <v>28</v>
      </c>
      <c r="H15" s="35" t="s">
        <v>28</v>
      </c>
      <c r="I15" s="35" t="s">
        <v>28</v>
      </c>
      <c r="J15" s="35" t="s">
        <v>28</v>
      </c>
      <c r="K15" s="35" t="s">
        <v>9</v>
      </c>
      <c r="L15" s="35" t="s">
        <v>28</v>
      </c>
      <c r="M15" s="76" t="s">
        <v>25</v>
      </c>
      <c r="N15" s="76" t="s">
        <v>25</v>
      </c>
      <c r="O15" s="35" t="s">
        <v>28</v>
      </c>
      <c r="P15" s="35" t="s">
        <v>28</v>
      </c>
      <c r="Q15" s="35" t="s">
        <v>9</v>
      </c>
      <c r="R15" s="76" t="s">
        <v>25</v>
      </c>
      <c r="S15" s="35" t="s">
        <v>9</v>
      </c>
      <c r="T15" s="35" t="s">
        <v>28</v>
      </c>
      <c r="U15" s="74" t="s">
        <v>5</v>
      </c>
      <c r="V15" s="74" t="s">
        <v>5</v>
      </c>
      <c r="W15" s="35" t="s">
        <v>9</v>
      </c>
      <c r="X15" s="35" t="s">
        <v>28</v>
      </c>
      <c r="Y15" s="76" t="s">
        <v>25</v>
      </c>
      <c r="Z15" s="35" t="s">
        <v>9</v>
      </c>
      <c r="AA15" s="35" t="s">
        <v>28</v>
      </c>
      <c r="AB15" s="35" t="s">
        <v>28</v>
      </c>
      <c r="AC15" s="35" t="s">
        <v>28</v>
      </c>
      <c r="AD15" s="35" t="s">
        <v>28</v>
      </c>
      <c r="AE15" s="35" t="s">
        <v>28</v>
      </c>
      <c r="AF15" s="35" t="s">
        <v>9</v>
      </c>
      <c r="AG15" s="73" t="s">
        <v>4</v>
      </c>
      <c r="AH15" s="73" t="s">
        <v>4</v>
      </c>
      <c r="AI15" s="73" t="s">
        <v>4</v>
      </c>
      <c r="AJ15" s="73" t="s">
        <v>4</v>
      </c>
      <c r="AK15" s="35" t="s">
        <v>28</v>
      </c>
      <c r="AL15" s="73" t="s">
        <v>4</v>
      </c>
      <c r="AM15" s="73" t="s">
        <v>4</v>
      </c>
      <c r="AN15" s="73" t="s">
        <v>4</v>
      </c>
      <c r="AO15" s="73" t="s">
        <v>4</v>
      </c>
      <c r="AP15" s="35" t="s">
        <v>28</v>
      </c>
      <c r="AQ15" s="35" t="s">
        <v>28</v>
      </c>
      <c r="AR15" s="35" t="s">
        <v>28</v>
      </c>
      <c r="AS15" s="35" t="s">
        <v>9</v>
      </c>
      <c r="AT15" s="35" t="s">
        <v>9</v>
      </c>
      <c r="AU15" s="74" t="s">
        <v>5</v>
      </c>
      <c r="AV15" s="74" t="s">
        <v>5</v>
      </c>
      <c r="AW15" s="35" t="s">
        <v>28</v>
      </c>
      <c r="AX15" s="73" t="s">
        <v>4</v>
      </c>
      <c r="AY15" s="73" t="s">
        <v>4</v>
      </c>
      <c r="AZ15" s="35" t="s">
        <v>28</v>
      </c>
      <c r="BA15" s="35" t="s">
        <v>9</v>
      </c>
      <c r="BB15" s="73" t="s">
        <v>4</v>
      </c>
      <c r="BC15" s="73" t="s">
        <v>4</v>
      </c>
      <c r="BD15" s="35" t="s">
        <v>28</v>
      </c>
      <c r="BE15" s="35" t="s">
        <v>28</v>
      </c>
      <c r="BF15" s="75" t="s">
        <v>7</v>
      </c>
      <c r="BG15" s="75" t="s">
        <v>7</v>
      </c>
      <c r="BH15" s="75" t="s">
        <v>7</v>
      </c>
      <c r="BI15" s="35" t="s">
        <v>9</v>
      </c>
      <c r="BJ15" s="35" t="s">
        <v>28</v>
      </c>
      <c r="BK15" s="35" t="s">
        <v>28</v>
      </c>
      <c r="BL15" s="35" t="s">
        <v>28</v>
      </c>
      <c r="BM15" s="73" t="s">
        <v>4</v>
      </c>
      <c r="BN15" s="35" t="s">
        <v>28</v>
      </c>
      <c r="BO15" s="76" t="s">
        <v>25</v>
      </c>
      <c r="BP15" s="35" t="s">
        <v>9</v>
      </c>
      <c r="BQ15" s="35" t="s">
        <v>28</v>
      </c>
      <c r="BR15" s="35" t="s">
        <v>28</v>
      </c>
      <c r="BS15" s="35" t="s">
        <v>28</v>
      </c>
      <c r="BT15" s="35" t="s">
        <v>28</v>
      </c>
      <c r="BU15" s="35" t="s">
        <v>28</v>
      </c>
      <c r="BV15" s="76" t="s">
        <v>25</v>
      </c>
      <c r="BW15" s="76" t="s">
        <v>25</v>
      </c>
      <c r="BX15" s="76" t="s">
        <v>25</v>
      </c>
      <c r="BY15" s="35" t="s">
        <v>9</v>
      </c>
      <c r="BZ15" s="73" t="s">
        <v>4</v>
      </c>
      <c r="CA15" s="35" t="s">
        <v>28</v>
      </c>
      <c r="CB15" s="35" t="s">
        <v>28</v>
      </c>
      <c r="CC15" s="35" t="s">
        <v>28</v>
      </c>
      <c r="CD15" s="74" t="s">
        <v>5</v>
      </c>
      <c r="CE15" s="76" t="s">
        <v>25</v>
      </c>
      <c r="CF15" s="76" t="s">
        <v>25</v>
      </c>
      <c r="CG15" s="35" t="s">
        <v>28</v>
      </c>
      <c r="CH15" s="75" t="s">
        <v>7</v>
      </c>
      <c r="CI15" s="35" t="s">
        <v>28</v>
      </c>
      <c r="CJ15" s="35" t="s">
        <v>28</v>
      </c>
    </row>
    <row r="16" spans="2:88" ht="15" thickBot="1" x14ac:dyDescent="0.35">
      <c r="B16" s="12">
        <v>13</v>
      </c>
      <c r="C16" s="15">
        <v>60</v>
      </c>
      <c r="D16" s="16" t="s">
        <v>5</v>
      </c>
      <c r="E16" s="73" t="s">
        <v>4</v>
      </c>
      <c r="F16" s="35" t="s">
        <v>28</v>
      </c>
      <c r="G16" s="35" t="s">
        <v>28</v>
      </c>
      <c r="H16" s="35" t="s">
        <v>28</v>
      </c>
      <c r="I16" s="76" t="s">
        <v>25</v>
      </c>
      <c r="J16" s="76" t="s">
        <v>25</v>
      </c>
      <c r="K16" s="35" t="s">
        <v>9</v>
      </c>
      <c r="L16" s="35" t="s">
        <v>28</v>
      </c>
      <c r="M16" s="35" t="s">
        <v>28</v>
      </c>
      <c r="N16" s="35" t="s">
        <v>28</v>
      </c>
      <c r="O16" s="35" t="s">
        <v>28</v>
      </c>
      <c r="P16" s="35" t="s">
        <v>28</v>
      </c>
      <c r="Q16" s="35" t="s">
        <v>9</v>
      </c>
      <c r="R16" s="35" t="s">
        <v>9</v>
      </c>
      <c r="S16" s="35" t="s">
        <v>28</v>
      </c>
      <c r="T16" s="35" t="s">
        <v>28</v>
      </c>
      <c r="U16" s="35" t="s">
        <v>28</v>
      </c>
      <c r="V16" s="35" t="s">
        <v>28</v>
      </c>
      <c r="W16" s="35" t="s">
        <v>28</v>
      </c>
      <c r="X16" s="73" t="s">
        <v>4</v>
      </c>
      <c r="Y16" s="73" t="s">
        <v>4</v>
      </c>
      <c r="Z16" s="73" t="s">
        <v>4</v>
      </c>
      <c r="AA16" s="35" t="s">
        <v>28</v>
      </c>
      <c r="AB16" s="35" t="s">
        <v>28</v>
      </c>
      <c r="AC16" s="35" t="s">
        <v>28</v>
      </c>
      <c r="AD16" s="76" t="s">
        <v>25</v>
      </c>
      <c r="AE16" s="76" t="s">
        <v>25</v>
      </c>
      <c r="AF16" s="35" t="s">
        <v>9</v>
      </c>
      <c r="AG16" s="35" t="s">
        <v>28</v>
      </c>
      <c r="AH16" s="35" t="s">
        <v>28</v>
      </c>
      <c r="AI16" s="35" t="s">
        <v>28</v>
      </c>
      <c r="AJ16" s="35" t="s">
        <v>28</v>
      </c>
      <c r="AK16" s="75" t="s">
        <v>7</v>
      </c>
      <c r="AL16" s="75" t="s">
        <v>7</v>
      </c>
      <c r="AM16" s="35" t="s">
        <v>9</v>
      </c>
      <c r="AN16" s="35" t="s">
        <v>28</v>
      </c>
      <c r="AO16" s="35" t="s">
        <v>28</v>
      </c>
      <c r="AP16" s="35" t="s">
        <v>28</v>
      </c>
      <c r="AQ16" s="35" t="s">
        <v>28</v>
      </c>
      <c r="AR16" s="35" t="s">
        <v>28</v>
      </c>
      <c r="AS16" s="76" t="s">
        <v>25</v>
      </c>
      <c r="AT16" s="76" t="s">
        <v>25</v>
      </c>
      <c r="AU16" s="35" t="s">
        <v>9</v>
      </c>
      <c r="AV16" s="35" t="s">
        <v>28</v>
      </c>
      <c r="AW16" s="35" t="s">
        <v>28</v>
      </c>
      <c r="AX16" s="35" t="s">
        <v>28</v>
      </c>
      <c r="AY16" s="35" t="s">
        <v>28</v>
      </c>
      <c r="AZ16" s="35" t="s">
        <v>28</v>
      </c>
      <c r="BA16" s="35" t="s">
        <v>9</v>
      </c>
      <c r="BB16" s="74" t="s">
        <v>5</v>
      </c>
      <c r="BC16" s="74" t="s">
        <v>5</v>
      </c>
      <c r="BD16" s="74" t="s">
        <v>5</v>
      </c>
      <c r="BE16" s="35" t="s">
        <v>28</v>
      </c>
      <c r="BF16" s="73" t="s">
        <v>4</v>
      </c>
      <c r="BG16" s="73" t="s">
        <v>4</v>
      </c>
      <c r="BH16" s="35" t="s">
        <v>9</v>
      </c>
      <c r="BI16" s="35" t="s">
        <v>28</v>
      </c>
      <c r="BJ16" s="35" t="s">
        <v>28</v>
      </c>
      <c r="BK16" s="35" t="s">
        <v>28</v>
      </c>
      <c r="BL16" s="76" t="s">
        <v>25</v>
      </c>
      <c r="BM16" s="76" t="s">
        <v>25</v>
      </c>
      <c r="BN16" s="76" t="s">
        <v>25</v>
      </c>
      <c r="BO16" s="35" t="s">
        <v>9</v>
      </c>
      <c r="BP16" s="35" t="s">
        <v>28</v>
      </c>
      <c r="BQ16" s="35" t="s">
        <v>28</v>
      </c>
      <c r="BR16" s="35" t="s">
        <v>28</v>
      </c>
      <c r="BS16" s="35" t="s">
        <v>28</v>
      </c>
      <c r="BT16" s="35" t="s">
        <v>28</v>
      </c>
      <c r="BU16" s="35" t="s">
        <v>28</v>
      </c>
      <c r="BV16" s="35" t="s">
        <v>9</v>
      </c>
      <c r="BW16" s="35" t="s">
        <v>9</v>
      </c>
      <c r="BX16" s="35" t="s">
        <v>28</v>
      </c>
      <c r="BY16" s="35" t="s">
        <v>28</v>
      </c>
      <c r="BZ16" s="35" t="s">
        <v>28</v>
      </c>
      <c r="CA16" s="76" t="s">
        <v>25</v>
      </c>
      <c r="CB16" s="76" t="s">
        <v>25</v>
      </c>
      <c r="CC16" s="76" t="s">
        <v>25</v>
      </c>
      <c r="CD16" s="76" t="s">
        <v>25</v>
      </c>
      <c r="CE16" s="35" t="s">
        <v>28</v>
      </c>
      <c r="CF16" s="35" t="s">
        <v>28</v>
      </c>
      <c r="CG16" s="35" t="s">
        <v>28</v>
      </c>
      <c r="CH16" s="35" t="s">
        <v>28</v>
      </c>
      <c r="CI16" s="35" t="s">
        <v>28</v>
      </c>
      <c r="CJ16" s="35" t="s">
        <v>9</v>
      </c>
    </row>
    <row r="17" spans="1:88" x14ac:dyDescent="0.3">
      <c r="B17" s="92" t="s">
        <v>10</v>
      </c>
      <c r="C17" s="92"/>
      <c r="D17" s="92"/>
      <c r="E17" s="17">
        <v>2</v>
      </c>
      <c r="F17" s="17">
        <v>2</v>
      </c>
      <c r="G17" s="17">
        <v>2</v>
      </c>
      <c r="H17" s="17">
        <v>2</v>
      </c>
      <c r="I17" s="17">
        <v>2</v>
      </c>
      <c r="J17" s="18">
        <v>2</v>
      </c>
      <c r="K17" s="19">
        <v>2</v>
      </c>
      <c r="L17" s="17">
        <v>2</v>
      </c>
      <c r="M17" s="17">
        <v>2</v>
      </c>
      <c r="N17" s="17">
        <v>2</v>
      </c>
      <c r="O17" s="17">
        <v>2</v>
      </c>
      <c r="P17" s="17">
        <v>2</v>
      </c>
      <c r="Q17" s="18">
        <v>2</v>
      </c>
      <c r="R17" s="19">
        <v>2</v>
      </c>
      <c r="S17" s="17">
        <v>2</v>
      </c>
      <c r="T17" s="17">
        <v>2</v>
      </c>
      <c r="U17" s="17">
        <v>2</v>
      </c>
      <c r="V17" s="17">
        <v>2</v>
      </c>
      <c r="W17" s="17">
        <v>2</v>
      </c>
      <c r="X17" s="18">
        <v>2</v>
      </c>
      <c r="Y17" s="19">
        <v>2</v>
      </c>
      <c r="Z17" s="17">
        <v>2</v>
      </c>
      <c r="AA17" s="17">
        <v>2</v>
      </c>
      <c r="AB17" s="17">
        <v>2</v>
      </c>
      <c r="AC17" s="17">
        <v>2</v>
      </c>
      <c r="AD17" s="17">
        <v>2</v>
      </c>
      <c r="AE17" s="18">
        <v>2</v>
      </c>
      <c r="AF17" s="19">
        <v>2</v>
      </c>
      <c r="AG17" s="17">
        <v>2</v>
      </c>
      <c r="AH17" s="17">
        <v>2</v>
      </c>
      <c r="AI17" s="17">
        <v>2</v>
      </c>
      <c r="AJ17" s="17">
        <v>2</v>
      </c>
      <c r="AK17" s="17">
        <v>2</v>
      </c>
      <c r="AL17" s="18">
        <v>2</v>
      </c>
      <c r="AM17" s="19">
        <v>2</v>
      </c>
      <c r="AN17" s="17">
        <v>2</v>
      </c>
      <c r="AO17" s="17">
        <v>2</v>
      </c>
      <c r="AP17" s="17">
        <v>2</v>
      </c>
      <c r="AQ17" s="17">
        <v>2</v>
      </c>
      <c r="AR17" s="17">
        <v>2</v>
      </c>
      <c r="AS17" s="18">
        <v>2</v>
      </c>
      <c r="AT17" s="19">
        <v>2</v>
      </c>
      <c r="AU17" s="17">
        <v>2</v>
      </c>
      <c r="AV17" s="17">
        <v>2</v>
      </c>
      <c r="AW17" s="17">
        <v>2</v>
      </c>
      <c r="AX17" s="17">
        <v>2</v>
      </c>
      <c r="AY17" s="17">
        <v>2</v>
      </c>
      <c r="AZ17" s="18">
        <v>2</v>
      </c>
      <c r="BA17" s="19">
        <v>2</v>
      </c>
      <c r="BB17" s="17">
        <v>2</v>
      </c>
      <c r="BC17" s="17">
        <v>2</v>
      </c>
      <c r="BD17" s="17">
        <v>2</v>
      </c>
      <c r="BE17" s="17">
        <v>2</v>
      </c>
      <c r="BF17" s="17">
        <v>2</v>
      </c>
      <c r="BG17" s="18">
        <v>2</v>
      </c>
      <c r="BH17" s="19">
        <v>2</v>
      </c>
      <c r="BI17" s="17">
        <v>2</v>
      </c>
      <c r="BJ17" s="17">
        <v>2</v>
      </c>
      <c r="BK17" s="17">
        <v>2</v>
      </c>
      <c r="BL17" s="17">
        <v>2</v>
      </c>
      <c r="BM17" s="17">
        <v>2</v>
      </c>
      <c r="BN17" s="18">
        <v>2</v>
      </c>
      <c r="BO17" s="19">
        <v>2</v>
      </c>
      <c r="BP17" s="17">
        <v>2</v>
      </c>
      <c r="BQ17" s="17">
        <v>2</v>
      </c>
      <c r="BR17" s="17">
        <v>2</v>
      </c>
      <c r="BS17" s="17">
        <v>2</v>
      </c>
      <c r="BT17" s="17">
        <v>2</v>
      </c>
      <c r="BU17" s="18">
        <v>2</v>
      </c>
      <c r="BV17" s="19">
        <v>2</v>
      </c>
      <c r="BW17" s="17">
        <v>2</v>
      </c>
      <c r="BX17" s="17">
        <v>2</v>
      </c>
      <c r="BY17" s="17">
        <v>2</v>
      </c>
      <c r="BZ17" s="17">
        <v>2</v>
      </c>
      <c r="CA17" s="17">
        <v>2</v>
      </c>
      <c r="CB17" s="18">
        <v>2</v>
      </c>
      <c r="CC17" s="19">
        <v>2</v>
      </c>
      <c r="CD17" s="17">
        <v>2</v>
      </c>
      <c r="CE17" s="17">
        <v>2</v>
      </c>
      <c r="CF17" s="17">
        <v>2</v>
      </c>
      <c r="CG17" s="17">
        <v>2</v>
      </c>
      <c r="CH17" s="17">
        <v>2</v>
      </c>
      <c r="CI17" s="18">
        <v>2</v>
      </c>
      <c r="CJ17" s="19">
        <v>2</v>
      </c>
    </row>
    <row r="18" spans="1:88" x14ac:dyDescent="0.3">
      <c r="B18" s="92" t="s">
        <v>11</v>
      </c>
      <c r="C18" s="92"/>
      <c r="D18" s="92"/>
      <c r="E18" s="20">
        <v>1</v>
      </c>
      <c r="F18" s="20">
        <v>1</v>
      </c>
      <c r="G18" s="20">
        <v>1</v>
      </c>
      <c r="H18" s="20">
        <v>1</v>
      </c>
      <c r="I18" s="20">
        <v>1</v>
      </c>
      <c r="J18" s="21">
        <v>0</v>
      </c>
      <c r="K18" s="22">
        <v>0</v>
      </c>
      <c r="L18" s="20">
        <v>1</v>
      </c>
      <c r="M18" s="20">
        <v>1</v>
      </c>
      <c r="N18" s="20">
        <v>1</v>
      </c>
      <c r="O18" s="20">
        <v>1</v>
      </c>
      <c r="P18" s="20">
        <v>1</v>
      </c>
      <c r="Q18" s="21">
        <v>0</v>
      </c>
      <c r="R18" s="22">
        <v>0</v>
      </c>
      <c r="S18" s="20">
        <v>1</v>
      </c>
      <c r="T18" s="20">
        <v>1</v>
      </c>
      <c r="U18" s="20">
        <v>1</v>
      </c>
      <c r="V18" s="20">
        <v>1</v>
      </c>
      <c r="W18" s="20">
        <v>1</v>
      </c>
      <c r="X18" s="21">
        <v>0</v>
      </c>
      <c r="Y18" s="22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1">
        <v>0</v>
      </c>
      <c r="AF18" s="22">
        <v>0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1">
        <v>0</v>
      </c>
      <c r="AM18" s="22">
        <v>0</v>
      </c>
      <c r="AN18" s="20">
        <v>1</v>
      </c>
      <c r="AO18" s="20">
        <v>1</v>
      </c>
      <c r="AP18" s="20">
        <v>1</v>
      </c>
      <c r="AQ18" s="20">
        <v>1</v>
      </c>
      <c r="AR18" s="20">
        <v>1</v>
      </c>
      <c r="AS18" s="21">
        <v>0</v>
      </c>
      <c r="AT18" s="22">
        <v>0</v>
      </c>
      <c r="AU18" s="20">
        <v>1</v>
      </c>
      <c r="AV18" s="20">
        <v>1</v>
      </c>
      <c r="AW18" s="20">
        <v>1</v>
      </c>
      <c r="AX18" s="20">
        <v>1</v>
      </c>
      <c r="AY18" s="20">
        <v>1</v>
      </c>
      <c r="AZ18" s="21">
        <v>0</v>
      </c>
      <c r="BA18" s="22">
        <v>0</v>
      </c>
      <c r="BB18" s="20">
        <v>1</v>
      </c>
      <c r="BC18" s="20">
        <v>1</v>
      </c>
      <c r="BD18" s="20">
        <v>1</v>
      </c>
      <c r="BE18" s="20">
        <v>1</v>
      </c>
      <c r="BF18" s="20">
        <v>1</v>
      </c>
      <c r="BG18" s="21">
        <v>0</v>
      </c>
      <c r="BH18" s="22">
        <v>0</v>
      </c>
      <c r="BI18" s="20">
        <v>1</v>
      </c>
      <c r="BJ18" s="20">
        <v>1</v>
      </c>
      <c r="BK18" s="20">
        <v>1</v>
      </c>
      <c r="BL18" s="20">
        <v>1</v>
      </c>
      <c r="BM18" s="20">
        <v>1</v>
      </c>
      <c r="BN18" s="21">
        <v>0</v>
      </c>
      <c r="BO18" s="22">
        <v>0</v>
      </c>
      <c r="BP18" s="20">
        <v>1</v>
      </c>
      <c r="BQ18" s="20">
        <v>1</v>
      </c>
      <c r="BR18" s="20">
        <v>1</v>
      </c>
      <c r="BS18" s="20">
        <v>1</v>
      </c>
      <c r="BT18" s="20">
        <v>1</v>
      </c>
      <c r="BU18" s="21">
        <v>0</v>
      </c>
      <c r="BV18" s="22">
        <v>0</v>
      </c>
      <c r="BW18" s="20">
        <v>1</v>
      </c>
      <c r="BX18" s="20">
        <v>1</v>
      </c>
      <c r="BY18" s="20">
        <v>1</v>
      </c>
      <c r="BZ18" s="20">
        <v>1</v>
      </c>
      <c r="CA18" s="20">
        <v>1</v>
      </c>
      <c r="CB18" s="21">
        <v>0</v>
      </c>
      <c r="CC18" s="22">
        <v>0</v>
      </c>
      <c r="CD18" s="20">
        <v>1</v>
      </c>
      <c r="CE18" s="20">
        <v>1</v>
      </c>
      <c r="CF18" s="20">
        <v>1</v>
      </c>
      <c r="CG18" s="20">
        <v>1</v>
      </c>
      <c r="CH18" s="20">
        <v>1</v>
      </c>
      <c r="CI18" s="21">
        <v>0</v>
      </c>
      <c r="CJ18" s="22">
        <v>0</v>
      </c>
    </row>
    <row r="19" spans="1:88" x14ac:dyDescent="0.3">
      <c r="B19" s="92" t="s">
        <v>12</v>
      </c>
      <c r="C19" s="92"/>
      <c r="D19" s="92"/>
      <c r="E19" s="20">
        <v>1</v>
      </c>
      <c r="F19" s="20">
        <v>1</v>
      </c>
      <c r="G19" s="20">
        <v>1</v>
      </c>
      <c r="H19" s="20">
        <v>1</v>
      </c>
      <c r="I19" s="20">
        <v>1</v>
      </c>
      <c r="J19" s="21">
        <v>1</v>
      </c>
      <c r="K19" s="22">
        <v>1</v>
      </c>
      <c r="L19" s="20">
        <v>1</v>
      </c>
      <c r="M19" s="20">
        <v>1</v>
      </c>
      <c r="N19" s="20">
        <v>1</v>
      </c>
      <c r="O19" s="20">
        <v>1</v>
      </c>
      <c r="P19" s="20">
        <v>1</v>
      </c>
      <c r="Q19" s="21">
        <v>1</v>
      </c>
      <c r="R19" s="22">
        <v>1</v>
      </c>
      <c r="S19" s="20">
        <v>1</v>
      </c>
      <c r="T19" s="20">
        <v>1</v>
      </c>
      <c r="U19" s="20">
        <v>1</v>
      </c>
      <c r="V19" s="20">
        <v>1</v>
      </c>
      <c r="W19" s="20">
        <v>1</v>
      </c>
      <c r="X19" s="21">
        <v>1</v>
      </c>
      <c r="Y19" s="22">
        <v>1</v>
      </c>
      <c r="Z19" s="20">
        <v>1</v>
      </c>
      <c r="AA19" s="20">
        <v>1</v>
      </c>
      <c r="AB19" s="20">
        <v>1</v>
      </c>
      <c r="AC19" s="20">
        <v>1</v>
      </c>
      <c r="AD19" s="20">
        <v>1</v>
      </c>
      <c r="AE19" s="21">
        <v>1</v>
      </c>
      <c r="AF19" s="22">
        <v>1</v>
      </c>
      <c r="AG19" s="20">
        <v>1</v>
      </c>
      <c r="AH19" s="20">
        <v>1</v>
      </c>
      <c r="AI19" s="20">
        <v>1</v>
      </c>
      <c r="AJ19" s="20">
        <v>1</v>
      </c>
      <c r="AK19" s="20">
        <v>1</v>
      </c>
      <c r="AL19" s="21">
        <v>1</v>
      </c>
      <c r="AM19" s="22">
        <v>1</v>
      </c>
      <c r="AN19" s="20">
        <v>1</v>
      </c>
      <c r="AO19" s="20">
        <v>1</v>
      </c>
      <c r="AP19" s="20">
        <v>1</v>
      </c>
      <c r="AQ19" s="20">
        <v>1</v>
      </c>
      <c r="AR19" s="20">
        <v>1</v>
      </c>
      <c r="AS19" s="21">
        <v>1</v>
      </c>
      <c r="AT19" s="22">
        <v>1</v>
      </c>
      <c r="AU19" s="20">
        <v>1</v>
      </c>
      <c r="AV19" s="20">
        <v>1</v>
      </c>
      <c r="AW19" s="20">
        <v>1</v>
      </c>
      <c r="AX19" s="20">
        <v>1</v>
      </c>
      <c r="AY19" s="20">
        <v>1</v>
      </c>
      <c r="AZ19" s="21">
        <v>1</v>
      </c>
      <c r="BA19" s="22">
        <v>1</v>
      </c>
      <c r="BB19" s="20">
        <v>1</v>
      </c>
      <c r="BC19" s="20">
        <v>1</v>
      </c>
      <c r="BD19" s="20">
        <v>1</v>
      </c>
      <c r="BE19" s="20">
        <v>1</v>
      </c>
      <c r="BF19" s="20">
        <v>1</v>
      </c>
      <c r="BG19" s="21">
        <v>1</v>
      </c>
      <c r="BH19" s="22">
        <v>1</v>
      </c>
      <c r="BI19" s="20">
        <v>1</v>
      </c>
      <c r="BJ19" s="20">
        <v>1</v>
      </c>
      <c r="BK19" s="20">
        <v>1</v>
      </c>
      <c r="BL19" s="20">
        <v>1</v>
      </c>
      <c r="BM19" s="20">
        <v>1</v>
      </c>
      <c r="BN19" s="21">
        <v>1</v>
      </c>
      <c r="BO19" s="22">
        <v>1</v>
      </c>
      <c r="BP19" s="20">
        <v>1</v>
      </c>
      <c r="BQ19" s="20">
        <v>1</v>
      </c>
      <c r="BR19" s="20">
        <v>1</v>
      </c>
      <c r="BS19" s="20">
        <v>1</v>
      </c>
      <c r="BT19" s="20">
        <v>1</v>
      </c>
      <c r="BU19" s="21">
        <v>1</v>
      </c>
      <c r="BV19" s="22">
        <v>1</v>
      </c>
      <c r="BW19" s="20">
        <v>1</v>
      </c>
      <c r="BX19" s="20">
        <v>1</v>
      </c>
      <c r="BY19" s="20">
        <v>1</v>
      </c>
      <c r="BZ19" s="20">
        <v>1</v>
      </c>
      <c r="CA19" s="20">
        <v>1</v>
      </c>
      <c r="CB19" s="21">
        <v>1</v>
      </c>
      <c r="CC19" s="22">
        <v>1</v>
      </c>
      <c r="CD19" s="20">
        <v>1</v>
      </c>
      <c r="CE19" s="20">
        <v>1</v>
      </c>
      <c r="CF19" s="20">
        <v>1</v>
      </c>
      <c r="CG19" s="20">
        <v>1</v>
      </c>
      <c r="CH19" s="20">
        <v>1</v>
      </c>
      <c r="CI19" s="21">
        <v>1</v>
      </c>
      <c r="CJ19" s="22">
        <v>1</v>
      </c>
    </row>
    <row r="20" spans="1:88" x14ac:dyDescent="0.3">
      <c r="B20" s="92" t="s">
        <v>23</v>
      </c>
      <c r="C20" s="92"/>
      <c r="D20" s="92"/>
      <c r="E20" s="20">
        <v>2</v>
      </c>
      <c r="F20" s="20">
        <v>2</v>
      </c>
      <c r="G20" s="20">
        <v>2</v>
      </c>
      <c r="H20" s="20">
        <v>2</v>
      </c>
      <c r="I20" s="20">
        <v>2</v>
      </c>
      <c r="J20" s="21">
        <v>2</v>
      </c>
      <c r="K20" s="22">
        <v>2</v>
      </c>
      <c r="L20" s="20">
        <v>2</v>
      </c>
      <c r="M20" s="20">
        <v>2</v>
      </c>
      <c r="N20" s="20">
        <v>2</v>
      </c>
      <c r="O20" s="20">
        <v>2</v>
      </c>
      <c r="P20" s="20">
        <v>2</v>
      </c>
      <c r="Q20" s="21">
        <v>2</v>
      </c>
      <c r="R20" s="22">
        <v>2</v>
      </c>
      <c r="S20" s="20">
        <v>2</v>
      </c>
      <c r="T20" s="20">
        <v>2</v>
      </c>
      <c r="U20" s="20">
        <v>2</v>
      </c>
      <c r="V20" s="20">
        <v>2</v>
      </c>
      <c r="W20" s="20">
        <v>2</v>
      </c>
      <c r="X20" s="21">
        <v>2</v>
      </c>
      <c r="Y20" s="22">
        <v>2</v>
      </c>
      <c r="Z20" s="20">
        <v>2</v>
      </c>
      <c r="AA20" s="20">
        <v>2</v>
      </c>
      <c r="AB20" s="20">
        <v>2</v>
      </c>
      <c r="AC20" s="20">
        <v>2</v>
      </c>
      <c r="AD20" s="20">
        <v>2</v>
      </c>
      <c r="AE20" s="21">
        <v>2</v>
      </c>
      <c r="AF20" s="22">
        <v>2</v>
      </c>
      <c r="AG20" s="20">
        <v>2</v>
      </c>
      <c r="AH20" s="20">
        <v>2</v>
      </c>
      <c r="AI20" s="20">
        <v>2</v>
      </c>
      <c r="AJ20" s="20">
        <v>2</v>
      </c>
      <c r="AK20" s="20">
        <v>2</v>
      </c>
      <c r="AL20" s="21">
        <v>2</v>
      </c>
      <c r="AM20" s="22">
        <v>2</v>
      </c>
      <c r="AN20" s="20">
        <v>2</v>
      </c>
      <c r="AO20" s="20">
        <v>2</v>
      </c>
      <c r="AP20" s="20">
        <v>2</v>
      </c>
      <c r="AQ20" s="20">
        <v>2</v>
      </c>
      <c r="AR20" s="20">
        <v>2</v>
      </c>
      <c r="AS20" s="21">
        <v>2</v>
      </c>
      <c r="AT20" s="22">
        <v>2</v>
      </c>
      <c r="AU20" s="20">
        <v>2</v>
      </c>
      <c r="AV20" s="20">
        <v>2</v>
      </c>
      <c r="AW20" s="20">
        <v>2</v>
      </c>
      <c r="AX20" s="20">
        <v>2</v>
      </c>
      <c r="AY20" s="20">
        <v>2</v>
      </c>
      <c r="AZ20" s="21">
        <v>2</v>
      </c>
      <c r="BA20" s="22">
        <v>2</v>
      </c>
      <c r="BB20" s="20">
        <v>2</v>
      </c>
      <c r="BC20" s="20">
        <v>2</v>
      </c>
      <c r="BD20" s="20">
        <v>2</v>
      </c>
      <c r="BE20" s="20">
        <v>2</v>
      </c>
      <c r="BF20" s="20">
        <v>2</v>
      </c>
      <c r="BG20" s="21">
        <v>2</v>
      </c>
      <c r="BH20" s="22">
        <v>2</v>
      </c>
      <c r="BI20" s="20">
        <v>2</v>
      </c>
      <c r="BJ20" s="20">
        <v>2</v>
      </c>
      <c r="BK20" s="20">
        <v>2</v>
      </c>
      <c r="BL20" s="20">
        <v>2</v>
      </c>
      <c r="BM20" s="20">
        <v>2</v>
      </c>
      <c r="BN20" s="21">
        <v>2</v>
      </c>
      <c r="BO20" s="22">
        <v>2</v>
      </c>
      <c r="BP20" s="20">
        <v>2</v>
      </c>
      <c r="BQ20" s="20">
        <v>2</v>
      </c>
      <c r="BR20" s="20">
        <v>2</v>
      </c>
      <c r="BS20" s="20">
        <v>2</v>
      </c>
      <c r="BT20" s="20">
        <v>2</v>
      </c>
      <c r="BU20" s="21">
        <v>2</v>
      </c>
      <c r="BV20" s="22">
        <v>2</v>
      </c>
      <c r="BW20" s="20">
        <v>2</v>
      </c>
      <c r="BX20" s="20">
        <v>2</v>
      </c>
      <c r="BY20" s="20">
        <v>2</v>
      </c>
      <c r="BZ20" s="20">
        <v>2</v>
      </c>
      <c r="CA20" s="20">
        <v>2</v>
      </c>
      <c r="CB20" s="21">
        <v>2</v>
      </c>
      <c r="CC20" s="22">
        <v>2</v>
      </c>
      <c r="CD20" s="20">
        <v>2</v>
      </c>
      <c r="CE20" s="20">
        <v>2</v>
      </c>
      <c r="CF20" s="20">
        <v>2</v>
      </c>
      <c r="CG20" s="20">
        <v>2</v>
      </c>
      <c r="CH20" s="20">
        <v>2</v>
      </c>
      <c r="CI20" s="21">
        <v>2</v>
      </c>
      <c r="CJ20" s="22">
        <v>2</v>
      </c>
    </row>
    <row r="21" spans="1:88" ht="15" thickBot="1" x14ac:dyDescent="0.35">
      <c r="B21" s="40"/>
      <c r="C21" s="40"/>
      <c r="D21" s="40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</row>
    <row r="22" spans="1:88" x14ac:dyDescent="0.3">
      <c r="A22" s="35"/>
      <c r="B22" s="95" t="s">
        <v>26</v>
      </c>
      <c r="C22" s="95"/>
      <c r="D22" s="95"/>
      <c r="E22" s="95"/>
      <c r="F22" s="95"/>
      <c r="G22" s="95"/>
      <c r="H22" s="96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</row>
    <row r="23" spans="1:88" x14ac:dyDescent="0.3">
      <c r="A23" s="73"/>
      <c r="B23" s="93" t="s">
        <v>13</v>
      </c>
      <c r="C23" s="93"/>
      <c r="D23" s="93"/>
      <c r="E23" s="93"/>
      <c r="F23" s="93"/>
      <c r="G23" s="93"/>
      <c r="H23" s="94"/>
    </row>
    <row r="24" spans="1:88" x14ac:dyDescent="0.3">
      <c r="A24" s="74"/>
      <c r="B24" s="93" t="s">
        <v>14</v>
      </c>
      <c r="C24" s="93"/>
      <c r="D24" s="93"/>
      <c r="E24" s="93"/>
      <c r="F24" s="93"/>
      <c r="G24" s="93"/>
      <c r="H24" s="94"/>
    </row>
    <row r="25" spans="1:88" x14ac:dyDescent="0.3">
      <c r="A25" s="75"/>
      <c r="B25" s="93" t="s">
        <v>15</v>
      </c>
      <c r="C25" s="93"/>
      <c r="D25" s="93"/>
      <c r="E25" s="93"/>
      <c r="F25" s="93"/>
      <c r="G25" s="93"/>
      <c r="H25" s="94"/>
    </row>
    <row r="26" spans="1:88" x14ac:dyDescent="0.3">
      <c r="A26" s="76"/>
      <c r="B26" s="93" t="s">
        <v>24</v>
      </c>
      <c r="C26" s="93"/>
      <c r="D26" s="93"/>
      <c r="E26" s="93"/>
      <c r="F26" s="93"/>
      <c r="G26" s="93"/>
      <c r="H26" s="94"/>
    </row>
    <row r="27" spans="1:88" ht="15" thickBot="1" x14ac:dyDescent="0.35">
      <c r="A27" s="35"/>
      <c r="B27" s="97" t="s">
        <v>27</v>
      </c>
      <c r="C27" s="97"/>
      <c r="D27" s="97"/>
      <c r="E27" s="97"/>
      <c r="F27" s="97"/>
      <c r="G27" s="97"/>
      <c r="H27" s="98"/>
    </row>
    <row r="28" spans="1:88" x14ac:dyDescent="0.3">
      <c r="B28" s="41"/>
      <c r="C28" s="41"/>
      <c r="D28" s="41"/>
      <c r="E28" s="41"/>
      <c r="F28" s="41"/>
      <c r="G28" s="41"/>
      <c r="H28" s="41"/>
    </row>
    <row r="29" spans="1:88" ht="14.55" customHeight="1" x14ac:dyDescent="0.3">
      <c r="B29" s="43" t="s">
        <v>16</v>
      </c>
      <c r="C29" s="44"/>
      <c r="D29" s="44"/>
      <c r="E29" s="44"/>
      <c r="F29" s="44"/>
      <c r="G29" s="45"/>
      <c r="H29" s="45"/>
      <c r="I29" s="45"/>
      <c r="J29" s="99" t="s">
        <v>17</v>
      </c>
      <c r="K29" s="100"/>
    </row>
    <row r="30" spans="1:88" x14ac:dyDescent="0.3">
      <c r="B30" s="23" t="s">
        <v>29</v>
      </c>
      <c r="C30" s="23" t="s">
        <v>1</v>
      </c>
      <c r="D30" s="24" t="s">
        <v>9</v>
      </c>
      <c r="E30" s="24" t="s">
        <v>4</v>
      </c>
      <c r="F30" s="24" t="s">
        <v>5</v>
      </c>
      <c r="G30" s="24" t="s">
        <v>7</v>
      </c>
      <c r="H30" s="24" t="s">
        <v>25</v>
      </c>
      <c r="I30" s="24" t="s">
        <v>28</v>
      </c>
      <c r="J30" s="101"/>
      <c r="K30" s="102"/>
    </row>
    <row r="31" spans="1:88" x14ac:dyDescent="0.3">
      <c r="B31" s="12">
        <v>1</v>
      </c>
      <c r="C31" s="13">
        <v>100</v>
      </c>
      <c r="D31" s="25">
        <f>COUNTIF($E4:$CJ4,"Jca")</f>
        <v>19</v>
      </c>
      <c r="E31" s="25">
        <f>COUNTIF($E4:$CJ4,"M")</f>
        <v>11</v>
      </c>
      <c r="F31" s="25">
        <f>COUNTIF($E4:$CJ4,"J")</f>
        <v>3</v>
      </c>
      <c r="G31" s="25">
        <f>COUNTIF($E4:$CJ4,"S")</f>
        <v>14</v>
      </c>
      <c r="H31" s="25">
        <f>COUNTIF($E4:$CJ4,"N")</f>
        <v>13</v>
      </c>
      <c r="I31" s="25">
        <f>COUNTIF($E4:$CJ4,"R")</f>
        <v>24</v>
      </c>
      <c r="J31" s="101"/>
      <c r="K31" s="102"/>
    </row>
    <row r="32" spans="1:88" x14ac:dyDescent="0.3">
      <c r="B32" s="12">
        <v>2</v>
      </c>
      <c r="C32" s="13">
        <v>100</v>
      </c>
      <c r="D32" s="25">
        <f t="shared" ref="D32:D43" si="0">COUNTIF($E5:$CJ5,"Jca")</f>
        <v>14</v>
      </c>
      <c r="E32" s="25">
        <f t="shared" ref="E32:E43" si="1">COUNTIF($E5:$CJ5,"M")</f>
        <v>18</v>
      </c>
      <c r="F32" s="25">
        <f t="shared" ref="F32:F43" si="2">COUNTIF($E5:$CJ5,"J")</f>
        <v>3</v>
      </c>
      <c r="G32" s="25">
        <f t="shared" ref="G32:G43" si="3">COUNTIF($E5:$CJ5,"S")</f>
        <v>7</v>
      </c>
      <c r="H32" s="25">
        <f t="shared" ref="H32:H43" si="4">COUNTIF($E5:$CJ5,"N")</f>
        <v>18</v>
      </c>
      <c r="I32" s="25">
        <f t="shared" ref="I32:I42" si="5">COUNTIF($E5:$CJ5,"R")</f>
        <v>24</v>
      </c>
      <c r="J32" s="101"/>
      <c r="K32" s="102"/>
    </row>
    <row r="33" spans="2:22" x14ac:dyDescent="0.3">
      <c r="B33" s="12">
        <v>3</v>
      </c>
      <c r="C33" s="13">
        <v>100</v>
      </c>
      <c r="D33" s="25">
        <f t="shared" si="0"/>
        <v>20</v>
      </c>
      <c r="E33" s="25">
        <f t="shared" si="1"/>
        <v>15</v>
      </c>
      <c r="F33" s="25">
        <f t="shared" si="2"/>
        <v>4</v>
      </c>
      <c r="G33" s="25">
        <f t="shared" si="3"/>
        <v>8</v>
      </c>
      <c r="H33" s="25">
        <f t="shared" si="4"/>
        <v>13</v>
      </c>
      <c r="I33" s="25">
        <f t="shared" si="5"/>
        <v>24</v>
      </c>
      <c r="J33" s="101"/>
      <c r="K33" s="102"/>
    </row>
    <row r="34" spans="2:22" x14ac:dyDescent="0.3">
      <c r="B34" s="12">
        <v>4</v>
      </c>
      <c r="C34" s="13">
        <v>100</v>
      </c>
      <c r="D34" s="25">
        <f t="shared" si="0"/>
        <v>21</v>
      </c>
      <c r="E34" s="25">
        <f t="shared" si="1"/>
        <v>19</v>
      </c>
      <c r="F34" s="25">
        <f t="shared" si="2"/>
        <v>7</v>
      </c>
      <c r="G34" s="25">
        <f t="shared" si="3"/>
        <v>0</v>
      </c>
      <c r="H34" s="25">
        <f t="shared" si="4"/>
        <v>13</v>
      </c>
      <c r="I34" s="25">
        <f t="shared" si="5"/>
        <v>24</v>
      </c>
      <c r="J34" s="101"/>
      <c r="K34" s="102"/>
    </row>
    <row r="35" spans="2:22" x14ac:dyDescent="0.3">
      <c r="B35" s="12">
        <v>5</v>
      </c>
      <c r="C35" s="13">
        <v>100</v>
      </c>
      <c r="D35" s="25">
        <f t="shared" si="0"/>
        <v>22</v>
      </c>
      <c r="E35" s="25">
        <f t="shared" si="1"/>
        <v>13</v>
      </c>
      <c r="F35" s="25">
        <f t="shared" si="2"/>
        <v>8</v>
      </c>
      <c r="G35" s="25">
        <f t="shared" si="3"/>
        <v>8</v>
      </c>
      <c r="H35" s="25">
        <f t="shared" si="4"/>
        <v>9</v>
      </c>
      <c r="I35" s="25">
        <f t="shared" si="5"/>
        <v>24</v>
      </c>
      <c r="J35" s="101"/>
      <c r="K35" s="102"/>
    </row>
    <row r="36" spans="2:22" x14ac:dyDescent="0.3">
      <c r="B36" s="12">
        <v>6</v>
      </c>
      <c r="C36" s="13">
        <v>100</v>
      </c>
      <c r="D36" s="25">
        <f t="shared" si="0"/>
        <v>19</v>
      </c>
      <c r="E36" s="25">
        <f t="shared" si="1"/>
        <v>12</v>
      </c>
      <c r="F36" s="25">
        <f t="shared" si="2"/>
        <v>3</v>
      </c>
      <c r="G36" s="25">
        <f t="shared" si="3"/>
        <v>9</v>
      </c>
      <c r="H36" s="25">
        <f t="shared" si="4"/>
        <v>17</v>
      </c>
      <c r="I36" s="25">
        <f t="shared" si="5"/>
        <v>24</v>
      </c>
      <c r="J36" s="101"/>
      <c r="K36" s="102"/>
    </row>
    <row r="37" spans="2:22" x14ac:dyDescent="0.3">
      <c r="B37" s="12">
        <v>7</v>
      </c>
      <c r="C37" s="13">
        <v>100</v>
      </c>
      <c r="D37" s="25">
        <f t="shared" si="0"/>
        <v>18</v>
      </c>
      <c r="E37" s="25">
        <f t="shared" si="1"/>
        <v>10</v>
      </c>
      <c r="F37" s="25">
        <f t="shared" si="2"/>
        <v>9</v>
      </c>
      <c r="G37" s="25">
        <f t="shared" si="3"/>
        <v>9</v>
      </c>
      <c r="H37" s="25">
        <f t="shared" si="4"/>
        <v>14</v>
      </c>
      <c r="I37" s="25">
        <f t="shared" si="5"/>
        <v>24</v>
      </c>
      <c r="J37" s="101"/>
      <c r="K37" s="85"/>
      <c r="L37" s="105" t="s">
        <v>18</v>
      </c>
      <c r="M37" s="105"/>
      <c r="N37" s="105"/>
      <c r="O37" s="105"/>
      <c r="P37" s="105"/>
      <c r="Q37" s="105"/>
      <c r="R37" s="77"/>
      <c r="S37" s="77"/>
      <c r="T37" s="77"/>
      <c r="U37" s="77"/>
      <c r="V37" s="77"/>
    </row>
    <row r="38" spans="2:22" x14ac:dyDescent="0.3">
      <c r="B38" s="12">
        <v>8</v>
      </c>
      <c r="C38" s="13">
        <v>100</v>
      </c>
      <c r="D38" s="25">
        <f t="shared" si="0"/>
        <v>22</v>
      </c>
      <c r="E38" s="25">
        <f t="shared" si="1"/>
        <v>16</v>
      </c>
      <c r="F38" s="25">
        <f t="shared" si="2"/>
        <v>5</v>
      </c>
      <c r="G38" s="25">
        <f t="shared" si="3"/>
        <v>4</v>
      </c>
      <c r="H38" s="25">
        <f t="shared" si="4"/>
        <v>13</v>
      </c>
      <c r="I38" s="25">
        <f t="shared" si="5"/>
        <v>24</v>
      </c>
      <c r="J38" s="101"/>
      <c r="K38" s="102"/>
      <c r="L38" s="35" t="s">
        <v>9</v>
      </c>
      <c r="M38" s="24" t="s">
        <v>4</v>
      </c>
      <c r="N38" s="24" t="s">
        <v>5</v>
      </c>
      <c r="O38" s="24" t="s">
        <v>7</v>
      </c>
      <c r="P38" s="24" t="s">
        <v>25</v>
      </c>
      <c r="Q38" s="24" t="s">
        <v>28</v>
      </c>
      <c r="R38" s="46"/>
      <c r="S38" s="46"/>
      <c r="T38" s="46"/>
      <c r="U38" s="46"/>
      <c r="V38" s="46"/>
    </row>
    <row r="39" spans="2:22" x14ac:dyDescent="0.3">
      <c r="B39" s="12">
        <v>9</v>
      </c>
      <c r="C39" s="13">
        <v>80</v>
      </c>
      <c r="D39" s="25">
        <f t="shared" si="0"/>
        <v>11</v>
      </c>
      <c r="E39" s="25">
        <f t="shared" si="1"/>
        <v>13</v>
      </c>
      <c r="F39" s="25">
        <f t="shared" si="2"/>
        <v>2</v>
      </c>
      <c r="G39" s="25">
        <f t="shared" si="3"/>
        <v>9</v>
      </c>
      <c r="H39" s="25">
        <f t="shared" si="4"/>
        <v>13</v>
      </c>
      <c r="I39" s="25">
        <f t="shared" si="5"/>
        <v>36</v>
      </c>
      <c r="J39" s="101"/>
      <c r="K39" s="102"/>
      <c r="L39" s="78">
        <f>+D39/AVERAGE(D$31:D$38)</f>
        <v>0.56774193548387097</v>
      </c>
      <c r="M39" s="79">
        <f t="shared" ref="M39:Q43" si="6">+E39/AVERAGE(E$31:E$38)</f>
        <v>0.91228070175438591</v>
      </c>
      <c r="N39" s="78">
        <f t="shared" si="6"/>
        <v>0.38095238095238093</v>
      </c>
      <c r="O39" s="79">
        <f t="shared" si="6"/>
        <v>1.2203389830508475</v>
      </c>
      <c r="P39" s="79">
        <f t="shared" si="6"/>
        <v>0.94545454545454544</v>
      </c>
      <c r="Q39" s="80">
        <f t="shared" si="6"/>
        <v>1.5</v>
      </c>
    </row>
    <row r="40" spans="2:22" x14ac:dyDescent="0.3">
      <c r="B40" s="12">
        <v>10</v>
      </c>
      <c r="C40" s="15">
        <v>75</v>
      </c>
      <c r="D40" s="25">
        <f t="shared" si="0"/>
        <v>15</v>
      </c>
      <c r="E40" s="25">
        <f t="shared" si="1"/>
        <v>10</v>
      </c>
      <c r="F40" s="25">
        <f t="shared" si="2"/>
        <v>5</v>
      </c>
      <c r="G40" s="25">
        <f t="shared" si="3"/>
        <v>7</v>
      </c>
      <c r="H40" s="25">
        <f t="shared" si="4"/>
        <v>8</v>
      </c>
      <c r="I40" s="25">
        <f t="shared" si="5"/>
        <v>39</v>
      </c>
      <c r="J40" s="101"/>
      <c r="K40" s="102"/>
      <c r="L40" s="78">
        <f t="shared" ref="L40:L43" si="7">+D40/AVERAGE(D$31:D$38)</f>
        <v>0.77419354838709675</v>
      </c>
      <c r="M40" s="78">
        <f>+E40/AVERAGE(E$31:E$38)</f>
        <v>0.70175438596491224</v>
      </c>
      <c r="N40" s="79">
        <f t="shared" si="6"/>
        <v>0.95238095238095233</v>
      </c>
      <c r="O40" s="79">
        <f t="shared" si="6"/>
        <v>0.94915254237288138</v>
      </c>
      <c r="P40" s="78">
        <f t="shared" si="6"/>
        <v>0.58181818181818179</v>
      </c>
      <c r="Q40" s="80">
        <f t="shared" si="6"/>
        <v>1.625</v>
      </c>
    </row>
    <row r="41" spans="2:22" x14ac:dyDescent="0.3">
      <c r="B41" s="12">
        <v>11</v>
      </c>
      <c r="C41" s="15">
        <v>75</v>
      </c>
      <c r="D41" s="25">
        <f t="shared" si="0"/>
        <v>14</v>
      </c>
      <c r="E41" s="25">
        <f t="shared" si="1"/>
        <v>11</v>
      </c>
      <c r="F41" s="25">
        <f t="shared" si="2"/>
        <v>3</v>
      </c>
      <c r="G41" s="25">
        <f t="shared" si="3"/>
        <v>3</v>
      </c>
      <c r="H41" s="25">
        <f t="shared" si="4"/>
        <v>14</v>
      </c>
      <c r="I41" s="25">
        <f t="shared" si="5"/>
        <v>39</v>
      </c>
      <c r="J41" s="101"/>
      <c r="K41" s="102"/>
      <c r="L41" s="78">
        <f t="shared" si="7"/>
        <v>0.72258064516129028</v>
      </c>
      <c r="M41" s="78">
        <f t="shared" si="6"/>
        <v>0.77192982456140347</v>
      </c>
      <c r="N41" s="78">
        <f t="shared" si="6"/>
        <v>0.5714285714285714</v>
      </c>
      <c r="O41" s="78">
        <f t="shared" si="6"/>
        <v>0.40677966101694918</v>
      </c>
      <c r="P41" s="79">
        <f t="shared" si="6"/>
        <v>1.0181818181818181</v>
      </c>
      <c r="Q41" s="80">
        <f t="shared" si="6"/>
        <v>1.625</v>
      </c>
    </row>
    <row r="42" spans="2:22" x14ac:dyDescent="0.3">
      <c r="B42" s="12">
        <v>12</v>
      </c>
      <c r="C42" s="15">
        <v>75</v>
      </c>
      <c r="D42" s="25">
        <f t="shared" si="0"/>
        <v>12</v>
      </c>
      <c r="E42" s="25">
        <f t="shared" si="1"/>
        <v>14</v>
      </c>
      <c r="F42" s="25">
        <f t="shared" si="2"/>
        <v>5</v>
      </c>
      <c r="G42" s="25">
        <f t="shared" si="3"/>
        <v>4</v>
      </c>
      <c r="H42" s="25">
        <f t="shared" si="4"/>
        <v>10</v>
      </c>
      <c r="I42" s="25">
        <f t="shared" si="5"/>
        <v>39</v>
      </c>
      <c r="J42" s="101"/>
      <c r="K42" s="102"/>
      <c r="L42" s="78">
        <f t="shared" si="7"/>
        <v>0.61935483870967745</v>
      </c>
      <c r="M42" s="79">
        <f t="shared" si="6"/>
        <v>0.98245614035087714</v>
      </c>
      <c r="N42" s="79">
        <f t="shared" si="6"/>
        <v>0.95238095238095233</v>
      </c>
      <c r="O42" s="78">
        <f t="shared" si="6"/>
        <v>0.5423728813559322</v>
      </c>
      <c r="P42" s="78">
        <f t="shared" si="6"/>
        <v>0.72727272727272729</v>
      </c>
      <c r="Q42" s="80">
        <f t="shared" si="6"/>
        <v>1.625</v>
      </c>
    </row>
    <row r="43" spans="2:22" x14ac:dyDescent="0.3">
      <c r="B43" s="12">
        <v>13</v>
      </c>
      <c r="C43" s="15">
        <v>60</v>
      </c>
      <c r="D43" s="25">
        <f t="shared" si="0"/>
        <v>12</v>
      </c>
      <c r="E43" s="25">
        <f t="shared" si="1"/>
        <v>6</v>
      </c>
      <c r="F43" s="25">
        <f t="shared" si="2"/>
        <v>3</v>
      </c>
      <c r="G43" s="25">
        <f t="shared" si="3"/>
        <v>2</v>
      </c>
      <c r="H43" s="25">
        <f t="shared" si="4"/>
        <v>13</v>
      </c>
      <c r="I43" s="25">
        <f>COUNTIF($E16:$CJ16,"R")</f>
        <v>48</v>
      </c>
      <c r="J43" s="103"/>
      <c r="K43" s="104"/>
      <c r="L43" s="78">
        <f t="shared" si="7"/>
        <v>0.61935483870967745</v>
      </c>
      <c r="M43" s="78">
        <f t="shared" si="6"/>
        <v>0.42105263157894735</v>
      </c>
      <c r="N43" s="78">
        <f t="shared" si="6"/>
        <v>0.5714285714285714</v>
      </c>
      <c r="O43" s="78">
        <f t="shared" si="6"/>
        <v>0.2711864406779661</v>
      </c>
      <c r="P43" s="79">
        <f t="shared" si="6"/>
        <v>0.94545454545454544</v>
      </c>
      <c r="Q43" s="80">
        <f t="shared" si="6"/>
        <v>2</v>
      </c>
    </row>
    <row r="44" spans="2:22" ht="15" thickBot="1" x14ac:dyDescent="0.35">
      <c r="B44" s="27"/>
      <c r="C44" s="28"/>
      <c r="D44" s="29"/>
      <c r="E44" s="29"/>
      <c r="F44" s="29"/>
      <c r="G44" s="29"/>
      <c r="H44" s="30"/>
    </row>
    <row r="45" spans="2:22" ht="14.55" customHeight="1" x14ac:dyDescent="0.3">
      <c r="B45" s="90" t="s">
        <v>16</v>
      </c>
      <c r="C45" s="91"/>
      <c r="D45" s="91"/>
      <c r="E45" s="91"/>
      <c r="F45" s="91"/>
      <c r="G45" s="91"/>
      <c r="H45" s="91"/>
      <c r="I45" s="91"/>
      <c r="J45" s="91"/>
      <c r="K45" s="91"/>
      <c r="L45" s="81" t="s">
        <v>19</v>
      </c>
      <c r="M45" s="82"/>
      <c r="N45" s="82"/>
      <c r="O45" s="83"/>
      <c r="P45" s="64"/>
      <c r="Q45" s="64"/>
      <c r="R45" s="65"/>
    </row>
    <row r="46" spans="2:22" ht="15" thickBot="1" x14ac:dyDescent="0.35">
      <c r="B46" s="66" t="s">
        <v>29</v>
      </c>
      <c r="C46" s="49" t="s">
        <v>1</v>
      </c>
      <c r="D46" s="50" t="s">
        <v>3</v>
      </c>
      <c r="E46" s="51" t="s">
        <v>4</v>
      </c>
      <c r="F46" s="51" t="s">
        <v>4</v>
      </c>
      <c r="G46" s="51" t="s">
        <v>5</v>
      </c>
      <c r="H46" s="51" t="s">
        <v>6</v>
      </c>
      <c r="I46" s="52" t="s">
        <v>7</v>
      </c>
      <c r="J46" s="53" t="s">
        <v>8</v>
      </c>
      <c r="K46" s="54" t="s">
        <v>20</v>
      </c>
      <c r="L46" s="84"/>
      <c r="M46" s="85"/>
      <c r="N46" s="85"/>
      <c r="O46" s="86"/>
      <c r="P46" s="72" t="s">
        <v>21</v>
      </c>
      <c r="Q46" s="31" t="s">
        <v>8</v>
      </c>
      <c r="R46" s="67" t="s">
        <v>22</v>
      </c>
    </row>
    <row r="47" spans="2:22" ht="15" thickBot="1" x14ac:dyDescent="0.35">
      <c r="B47" s="55">
        <v>1</v>
      </c>
      <c r="C47" s="56">
        <v>100</v>
      </c>
      <c r="D47" s="32">
        <v>10</v>
      </c>
      <c r="E47" s="33">
        <v>8</v>
      </c>
      <c r="F47" s="33">
        <v>10</v>
      </c>
      <c r="G47" s="33">
        <v>8</v>
      </c>
      <c r="H47" s="33">
        <v>8</v>
      </c>
      <c r="I47" s="34">
        <v>7</v>
      </c>
      <c r="J47" s="47">
        <v>9</v>
      </c>
      <c r="K47" s="47">
        <f>SUM(D47:J47)</f>
        <v>60</v>
      </c>
      <c r="L47" s="84"/>
      <c r="M47" s="85"/>
      <c r="N47" s="85"/>
      <c r="O47" s="86"/>
      <c r="P47" s="26">
        <f>+(K47-COUNTIF($E4:$CJ4,"N"))*7.5+COUNTIF($E4:$CJ4,"N")*10</f>
        <v>482.5</v>
      </c>
      <c r="Q47" s="35">
        <f>12*37.5*C47/100</f>
        <v>450</v>
      </c>
      <c r="R47" s="68">
        <f>+Q47-P47</f>
        <v>-32.5</v>
      </c>
    </row>
    <row r="48" spans="2:22" ht="15" thickBot="1" x14ac:dyDescent="0.35">
      <c r="B48" s="57">
        <v>2</v>
      </c>
      <c r="C48" s="13">
        <v>100</v>
      </c>
      <c r="D48" s="36">
        <v>5</v>
      </c>
      <c r="E48" s="37">
        <v>11</v>
      </c>
      <c r="F48" s="37">
        <v>11</v>
      </c>
      <c r="G48" s="37">
        <v>11</v>
      </c>
      <c r="H48" s="37">
        <v>10</v>
      </c>
      <c r="I48" s="38">
        <v>8</v>
      </c>
      <c r="J48" s="48">
        <v>4</v>
      </c>
      <c r="K48" s="47">
        <f t="shared" ref="K48:K59" si="8">SUM(D48:J48)</f>
        <v>60</v>
      </c>
      <c r="L48" s="84"/>
      <c r="M48" s="85"/>
      <c r="N48" s="85"/>
      <c r="O48" s="86"/>
      <c r="P48" s="26">
        <f t="shared" ref="P48:P59" si="9">+(K48-COUNTIF($E5:$CJ5,"N"))*7.5+COUNTIF($E5:$CJ5,"N")*10</f>
        <v>495</v>
      </c>
      <c r="Q48" s="35">
        <f t="shared" ref="Q48:Q59" si="10">12*37.5*C48/100</f>
        <v>450</v>
      </c>
      <c r="R48" s="68">
        <f t="shared" ref="R48:R59" si="11">+Q48-P48</f>
        <v>-45</v>
      </c>
    </row>
    <row r="49" spans="2:18" ht="15" thickBot="1" x14ac:dyDescent="0.35">
      <c r="B49" s="57">
        <v>3</v>
      </c>
      <c r="C49" s="13">
        <v>100</v>
      </c>
      <c r="D49" s="36">
        <v>10</v>
      </c>
      <c r="E49" s="37">
        <v>10</v>
      </c>
      <c r="F49" s="37">
        <v>7</v>
      </c>
      <c r="G49" s="37">
        <v>9</v>
      </c>
      <c r="H49" s="37">
        <v>6</v>
      </c>
      <c r="I49" s="38">
        <v>8</v>
      </c>
      <c r="J49" s="48">
        <v>10</v>
      </c>
      <c r="K49" s="47">
        <f t="shared" si="8"/>
        <v>60</v>
      </c>
      <c r="L49" s="84"/>
      <c r="M49" s="85"/>
      <c r="N49" s="85"/>
      <c r="O49" s="86"/>
      <c r="P49" s="26">
        <f t="shared" si="9"/>
        <v>482.5</v>
      </c>
      <c r="Q49" s="35">
        <f t="shared" si="10"/>
        <v>450</v>
      </c>
      <c r="R49" s="68">
        <f t="shared" si="11"/>
        <v>-32.5</v>
      </c>
    </row>
    <row r="50" spans="2:18" ht="15" thickBot="1" x14ac:dyDescent="0.35">
      <c r="B50" s="57">
        <v>4</v>
      </c>
      <c r="C50" s="13">
        <v>100</v>
      </c>
      <c r="D50" s="36">
        <v>9</v>
      </c>
      <c r="E50" s="37">
        <v>5</v>
      </c>
      <c r="F50" s="37">
        <v>7</v>
      </c>
      <c r="G50" s="37">
        <v>11</v>
      </c>
      <c r="H50" s="37">
        <v>11</v>
      </c>
      <c r="I50" s="38">
        <v>11</v>
      </c>
      <c r="J50" s="48">
        <v>6</v>
      </c>
      <c r="K50" s="47">
        <f t="shared" si="8"/>
        <v>60</v>
      </c>
      <c r="L50" s="84"/>
      <c r="M50" s="85"/>
      <c r="N50" s="85"/>
      <c r="O50" s="86"/>
      <c r="P50" s="26">
        <f t="shared" si="9"/>
        <v>482.5</v>
      </c>
      <c r="Q50" s="35">
        <f t="shared" si="10"/>
        <v>450</v>
      </c>
      <c r="R50" s="68">
        <f t="shared" si="11"/>
        <v>-32.5</v>
      </c>
    </row>
    <row r="51" spans="2:18" ht="15" thickBot="1" x14ac:dyDescent="0.35">
      <c r="B51" s="57">
        <v>5</v>
      </c>
      <c r="C51" s="13">
        <v>100</v>
      </c>
      <c r="D51" s="36">
        <v>8</v>
      </c>
      <c r="E51" s="37">
        <v>9</v>
      </c>
      <c r="F51" s="37">
        <v>10</v>
      </c>
      <c r="G51" s="37">
        <v>9</v>
      </c>
      <c r="H51" s="37">
        <v>9</v>
      </c>
      <c r="I51" s="38">
        <v>8</v>
      </c>
      <c r="J51" s="48">
        <v>7</v>
      </c>
      <c r="K51" s="47">
        <f t="shared" si="8"/>
        <v>60</v>
      </c>
      <c r="L51" s="84"/>
      <c r="M51" s="85"/>
      <c r="N51" s="85"/>
      <c r="O51" s="86"/>
      <c r="P51" s="26">
        <f t="shared" si="9"/>
        <v>472.5</v>
      </c>
      <c r="Q51" s="35">
        <f t="shared" si="10"/>
        <v>450</v>
      </c>
      <c r="R51" s="68">
        <f t="shared" si="11"/>
        <v>-22.5</v>
      </c>
    </row>
    <row r="52" spans="2:18" ht="15" thickBot="1" x14ac:dyDescent="0.35">
      <c r="B52" s="57">
        <v>6</v>
      </c>
      <c r="C52" s="13">
        <v>100</v>
      </c>
      <c r="D52" s="36">
        <v>9</v>
      </c>
      <c r="E52" s="37">
        <v>10</v>
      </c>
      <c r="F52" s="37">
        <v>10</v>
      </c>
      <c r="G52" s="37">
        <v>9</v>
      </c>
      <c r="H52" s="37">
        <v>10</v>
      </c>
      <c r="I52" s="38">
        <v>8</v>
      </c>
      <c r="J52" s="48">
        <v>4</v>
      </c>
      <c r="K52" s="47">
        <f t="shared" si="8"/>
        <v>60</v>
      </c>
      <c r="L52" s="84"/>
      <c r="M52" s="85"/>
      <c r="N52" s="85"/>
      <c r="O52" s="86"/>
      <c r="P52" s="26">
        <f t="shared" si="9"/>
        <v>492.5</v>
      </c>
      <c r="Q52" s="35">
        <f t="shared" si="10"/>
        <v>450</v>
      </c>
      <c r="R52" s="68">
        <f t="shared" si="11"/>
        <v>-42.5</v>
      </c>
    </row>
    <row r="53" spans="2:18" ht="15" thickBot="1" x14ac:dyDescent="0.35">
      <c r="B53" s="57">
        <v>7</v>
      </c>
      <c r="C53" s="13">
        <v>100</v>
      </c>
      <c r="D53" s="36">
        <v>11</v>
      </c>
      <c r="E53" s="37">
        <v>11</v>
      </c>
      <c r="F53" s="37">
        <v>12</v>
      </c>
      <c r="G53" s="37">
        <v>10</v>
      </c>
      <c r="H53" s="37">
        <v>11</v>
      </c>
      <c r="I53" s="38">
        <v>3</v>
      </c>
      <c r="J53" s="48">
        <v>2</v>
      </c>
      <c r="K53" s="47">
        <f t="shared" si="8"/>
        <v>60</v>
      </c>
      <c r="L53" s="84"/>
      <c r="M53" s="85"/>
      <c r="N53" s="85"/>
      <c r="O53" s="86"/>
      <c r="P53" s="26">
        <f t="shared" si="9"/>
        <v>485</v>
      </c>
      <c r="Q53" s="35">
        <f t="shared" si="10"/>
        <v>450</v>
      </c>
      <c r="R53" s="68">
        <f t="shared" si="11"/>
        <v>-35</v>
      </c>
    </row>
    <row r="54" spans="2:18" ht="15" thickBot="1" x14ac:dyDescent="0.35">
      <c r="B54" s="57">
        <v>8</v>
      </c>
      <c r="C54" s="13">
        <v>100</v>
      </c>
      <c r="D54" s="36">
        <v>7</v>
      </c>
      <c r="E54" s="37">
        <v>11</v>
      </c>
      <c r="F54" s="37">
        <v>12</v>
      </c>
      <c r="G54" s="37">
        <v>11</v>
      </c>
      <c r="H54" s="37">
        <v>11</v>
      </c>
      <c r="I54" s="38">
        <v>6</v>
      </c>
      <c r="J54" s="48">
        <v>2</v>
      </c>
      <c r="K54" s="47">
        <f t="shared" si="8"/>
        <v>60</v>
      </c>
      <c r="L54" s="84"/>
      <c r="M54" s="85"/>
      <c r="N54" s="85"/>
      <c r="O54" s="86"/>
      <c r="P54" s="26">
        <f t="shared" si="9"/>
        <v>482.5</v>
      </c>
      <c r="Q54" s="35">
        <f t="shared" si="10"/>
        <v>450</v>
      </c>
      <c r="R54" s="68">
        <f t="shared" si="11"/>
        <v>-32.5</v>
      </c>
    </row>
    <row r="55" spans="2:18" ht="15" thickBot="1" x14ac:dyDescent="0.35">
      <c r="B55" s="57">
        <v>9</v>
      </c>
      <c r="C55" s="13">
        <v>80</v>
      </c>
      <c r="D55" s="36">
        <v>7</v>
      </c>
      <c r="E55" s="37">
        <v>7</v>
      </c>
      <c r="F55" s="37">
        <v>9</v>
      </c>
      <c r="G55" s="37">
        <v>5</v>
      </c>
      <c r="H55" s="37">
        <v>6</v>
      </c>
      <c r="I55" s="38">
        <v>7</v>
      </c>
      <c r="J55" s="48">
        <v>7</v>
      </c>
      <c r="K55" s="47">
        <f t="shared" si="8"/>
        <v>48</v>
      </c>
      <c r="L55" s="84"/>
      <c r="M55" s="85"/>
      <c r="N55" s="85"/>
      <c r="O55" s="86"/>
      <c r="P55" s="26">
        <f t="shared" si="9"/>
        <v>392.5</v>
      </c>
      <c r="Q55" s="35">
        <f t="shared" si="10"/>
        <v>360</v>
      </c>
      <c r="R55" s="68">
        <f t="shared" si="11"/>
        <v>-32.5</v>
      </c>
    </row>
    <row r="56" spans="2:18" ht="15" thickBot="1" x14ac:dyDescent="0.35">
      <c r="B56" s="57">
        <v>10</v>
      </c>
      <c r="C56" s="15">
        <v>75</v>
      </c>
      <c r="D56" s="36">
        <v>8</v>
      </c>
      <c r="E56" s="37">
        <v>6</v>
      </c>
      <c r="F56" s="37">
        <v>7</v>
      </c>
      <c r="G56" s="37">
        <v>4</v>
      </c>
      <c r="H56" s="37">
        <v>2</v>
      </c>
      <c r="I56" s="38">
        <v>6</v>
      </c>
      <c r="J56" s="48">
        <v>12</v>
      </c>
      <c r="K56" s="47">
        <f t="shared" si="8"/>
        <v>45</v>
      </c>
      <c r="L56" s="84"/>
      <c r="M56" s="85"/>
      <c r="N56" s="85"/>
      <c r="O56" s="86"/>
      <c r="P56" s="26">
        <f t="shared" si="9"/>
        <v>357.5</v>
      </c>
      <c r="Q56" s="35">
        <f t="shared" si="10"/>
        <v>337.5</v>
      </c>
      <c r="R56" s="68">
        <f t="shared" si="11"/>
        <v>-20</v>
      </c>
    </row>
    <row r="57" spans="2:18" ht="15" thickBot="1" x14ac:dyDescent="0.35">
      <c r="B57" s="57">
        <v>11</v>
      </c>
      <c r="C57" s="15">
        <v>75</v>
      </c>
      <c r="D57" s="36">
        <v>5</v>
      </c>
      <c r="E57" s="37">
        <v>3</v>
      </c>
      <c r="F57" s="37">
        <v>3</v>
      </c>
      <c r="G57" s="37">
        <v>7</v>
      </c>
      <c r="H57" s="37">
        <v>7</v>
      </c>
      <c r="I57" s="38">
        <v>8</v>
      </c>
      <c r="J57" s="48">
        <v>12</v>
      </c>
      <c r="K57" s="47">
        <f t="shared" si="8"/>
        <v>45</v>
      </c>
      <c r="L57" s="84"/>
      <c r="M57" s="85"/>
      <c r="N57" s="85"/>
      <c r="O57" s="86"/>
      <c r="P57" s="26">
        <f t="shared" si="9"/>
        <v>372.5</v>
      </c>
      <c r="Q57" s="35">
        <f t="shared" si="10"/>
        <v>337.5</v>
      </c>
      <c r="R57" s="68">
        <f t="shared" si="11"/>
        <v>-35</v>
      </c>
    </row>
    <row r="58" spans="2:18" ht="15" thickBot="1" x14ac:dyDescent="0.35">
      <c r="B58" s="57">
        <v>12</v>
      </c>
      <c r="C58" s="15">
        <v>75</v>
      </c>
      <c r="D58" s="36">
        <v>10</v>
      </c>
      <c r="E58" s="37">
        <v>7</v>
      </c>
      <c r="F58" s="37">
        <v>5</v>
      </c>
      <c r="G58" s="37">
        <v>4</v>
      </c>
      <c r="H58" s="37">
        <v>5</v>
      </c>
      <c r="I58" s="38">
        <v>4</v>
      </c>
      <c r="J58" s="48">
        <v>10</v>
      </c>
      <c r="K58" s="47">
        <f t="shared" si="8"/>
        <v>45</v>
      </c>
      <c r="L58" s="84"/>
      <c r="M58" s="85"/>
      <c r="N58" s="85"/>
      <c r="O58" s="86"/>
      <c r="P58" s="26">
        <f t="shared" si="9"/>
        <v>362.5</v>
      </c>
      <c r="Q58" s="35">
        <f t="shared" si="10"/>
        <v>337.5</v>
      </c>
      <c r="R58" s="68">
        <f t="shared" si="11"/>
        <v>-25</v>
      </c>
    </row>
    <row r="59" spans="2:18" ht="15" thickBot="1" x14ac:dyDescent="0.35">
      <c r="B59" s="58">
        <v>13</v>
      </c>
      <c r="C59" s="59">
        <v>60</v>
      </c>
      <c r="D59" s="60">
        <v>6</v>
      </c>
      <c r="E59" s="61">
        <v>1</v>
      </c>
      <c r="F59" s="61">
        <v>1</v>
      </c>
      <c r="G59" s="61">
        <v>1</v>
      </c>
      <c r="H59" s="61">
        <v>6</v>
      </c>
      <c r="I59" s="62">
        <v>9</v>
      </c>
      <c r="J59" s="63">
        <v>12</v>
      </c>
      <c r="K59" s="71">
        <f t="shared" si="8"/>
        <v>36</v>
      </c>
      <c r="L59" s="87"/>
      <c r="M59" s="88"/>
      <c r="N59" s="88"/>
      <c r="O59" s="89"/>
      <c r="P59" s="26">
        <f t="shared" si="9"/>
        <v>302.5</v>
      </c>
      <c r="Q59" s="69">
        <f t="shared" si="10"/>
        <v>270</v>
      </c>
      <c r="R59" s="70">
        <f t="shared" si="11"/>
        <v>-32.5</v>
      </c>
    </row>
  </sheetData>
  <mergeCells count="14">
    <mergeCell ref="B17:D17"/>
    <mergeCell ref="B18:D18"/>
    <mergeCell ref="B19:D19"/>
    <mergeCell ref="B23:H23"/>
    <mergeCell ref="B24:H24"/>
    <mergeCell ref="L45:O59"/>
    <mergeCell ref="B45:K45"/>
    <mergeCell ref="B20:D20"/>
    <mergeCell ref="B26:H26"/>
    <mergeCell ref="B22:H22"/>
    <mergeCell ref="B27:H27"/>
    <mergeCell ref="B25:H25"/>
    <mergeCell ref="J29:K43"/>
    <mergeCell ref="L37:Q37"/>
  </mergeCells>
  <conditionalFormatting sqref="R47:R59">
    <cfRule type="cellIs" dxfId="0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">
                <anchor moveWithCells="1" sizeWithCells="1">
                  <from>
                    <xdr:col>10</xdr:col>
                    <xdr:colOff>152400</xdr:colOff>
                    <xdr:row>21</xdr:row>
                    <xdr:rowOff>53340</xdr:rowOff>
                  </from>
                  <to>
                    <xdr:col>16</xdr:col>
                    <xdr:colOff>175260</xdr:colOff>
                    <xdr:row>23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268E29-DB26-4665-9A99-E300E474E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Resultat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Velez Velasquez</dc:creator>
  <cp:lastModifiedBy>Romain Vo</cp:lastModifiedBy>
  <dcterms:created xsi:type="dcterms:W3CDTF">2020-04-02T13:54:55Z</dcterms:created>
  <dcterms:modified xsi:type="dcterms:W3CDTF">2020-04-02T17:02:01Z</dcterms:modified>
</cp:coreProperties>
</file>